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bayram\Desktop\"/>
    </mc:Choice>
  </mc:AlternateContent>
  <xr:revisionPtr revIDLastSave="0" documentId="13_ncr:1_{320215B5-8FEB-4A7D-A90E-9380A7C7ED0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olivalans Tablosu" sheetId="1" r:id="rId1"/>
    <sheet name="Makine Bazlı Değer Matrisi" sheetId="3" r:id="rId2"/>
  </sheets>
  <externalReferences>
    <externalReference r:id="rId3"/>
  </externalReferences>
  <definedNames>
    <definedName name="_xlnm._FilterDatabase" localSheetId="1" hidden="1">'Makine Bazlı Değer Matrisi'!$B$3:$J$53</definedName>
    <definedName name="_xlnm._FilterDatabase" localSheetId="0" hidden="1">'Polivalans Tablosu'!$A$4:$Q$98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11" i="1"/>
  <c r="E12" i="1"/>
  <c r="E13" i="1"/>
  <c r="E14" i="1"/>
  <c r="E15" i="1"/>
  <c r="E16" i="1"/>
  <c r="E18" i="1"/>
  <c r="E20" i="1"/>
  <c r="E21" i="1"/>
  <c r="E22" i="1"/>
  <c r="E23" i="1"/>
  <c r="E25" i="1"/>
  <c r="E27" i="1"/>
  <c r="E28" i="1"/>
  <c r="E29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5" i="1"/>
  <c r="J53" i="3" l="1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</calcChain>
</file>

<file path=xl/sharedStrings.xml><?xml version="1.0" encoding="utf-8"?>
<sst xmlns="http://schemas.openxmlformats.org/spreadsheetml/2006/main" count="170" uniqueCount="118">
  <si>
    <t>YETKİNLİK ALANLARI</t>
  </si>
  <si>
    <t>SIRA NO</t>
  </si>
  <si>
    <t>PERSONELİN ADI SOYADI</t>
  </si>
  <si>
    <t>MESLEKİ  BECERİ VE GELİŞİM ALANI</t>
  </si>
  <si>
    <t>Makinede çalışmada bulunmuş fakat makineyi yardım almadan çalıştıramaz. Ürün bilgisi düşüktür.</t>
  </si>
  <si>
    <t>İlgili makineyi yardım almadan çalıştarabilir fakat rutin çalışma dışında ortaya çıkacak sorunları çözemez. Ürün bilgisi orta seviyededir.</t>
  </si>
  <si>
    <t xml:space="preserve">İlgili makineyi yardım almadan çalıştarabilir, rutin çalışma dışında ortaya çıkacak sorunları çözebilir. Ürün bilgisi iyi seviyededir. </t>
  </si>
  <si>
    <t xml:space="preserve">Profesyonel anlamda makineye hakimdir. Makine ve Ürün bilgisi çok iyidir. Teorik ve pratik eğitim verebilir seviyededir. </t>
  </si>
  <si>
    <t>BK TANDEM</t>
  </si>
  <si>
    <t>BK APARAT</t>
  </si>
  <si>
    <t>BK İZOLE BÜKÜM</t>
  </si>
  <si>
    <t>BK TEL ÇEKME</t>
  </si>
  <si>
    <t>BK DÖKÜM</t>
  </si>
  <si>
    <t>BK FORKLİFT</t>
  </si>
  <si>
    <t>BK GERİ DÖNÜŞÜM</t>
  </si>
  <si>
    <t>BK GRANÜL</t>
  </si>
  <si>
    <t>BK TEL RİJİT</t>
  </si>
  <si>
    <t>BK TEL İNCE BÜKÜM</t>
  </si>
  <si>
    <t>BK İZOLASYON</t>
  </si>
  <si>
    <t>BK AKTARMA (OTOM.)</t>
  </si>
  <si>
    <t>BK AKTARMA (KALIN)</t>
  </si>
  <si>
    <t>BK ZIRHLAMA</t>
  </si>
  <si>
    <t>BK OPERATÖR YARDIMCISI</t>
  </si>
  <si>
    <t>BK VARDİYA AMİRİ</t>
  </si>
  <si>
    <t>ZORLUK DERECESİ</t>
  </si>
  <si>
    <t>TOPLAM PUAN</t>
  </si>
  <si>
    <t>Proses</t>
  </si>
  <si>
    <t>Bilgi-Beceri</t>
  </si>
  <si>
    <t>Zorluk</t>
  </si>
  <si>
    <t>Çalışma Şartları</t>
  </si>
  <si>
    <t xml:space="preserve">ISG risk </t>
  </si>
  <si>
    <t>Darboğaz
Hat</t>
  </si>
  <si>
    <t>Kalite
Etkisi</t>
  </si>
  <si>
    <t>Kritik Makine</t>
  </si>
  <si>
    <t>AL AKTARMA (KALIN)</t>
  </si>
  <si>
    <t>AL APARAT</t>
  </si>
  <si>
    <t xml:space="preserve">AL ARA DEPO </t>
  </si>
  <si>
    <t>AL DÖKÜM</t>
  </si>
  <si>
    <t>AL DRUM BÜKÜM</t>
  </si>
  <si>
    <t>AL FORKLİFT</t>
  </si>
  <si>
    <t>AL GERİ DÖNÜŞÜM</t>
  </si>
  <si>
    <t>AL GERİ DÖNÜŞÜM GRANÜL</t>
  </si>
  <si>
    <t>AL İZOLASYON</t>
  </si>
  <si>
    <t>AL İZOLE BÜKÜM 4+1</t>
  </si>
  <si>
    <t>AL OPERATÖR YARDIMCISI</t>
  </si>
  <si>
    <t xml:space="preserve">AL ORTACI </t>
  </si>
  <si>
    <t>AL TANDEM</t>
  </si>
  <si>
    <t>AL TEL ÇEKME</t>
  </si>
  <si>
    <t>AL TEL RİJİT</t>
  </si>
  <si>
    <t>AL TEL TÜBÜLER</t>
  </si>
  <si>
    <t>AL VARDİYA AMİRİ</t>
  </si>
  <si>
    <t>BK ARA DEPO</t>
  </si>
  <si>
    <t>BK İZOLE BÜKÜM 4+1</t>
  </si>
  <si>
    <t xml:space="preserve">BK KILIF </t>
  </si>
  <si>
    <t>BK ORTACI</t>
  </si>
  <si>
    <t>SÜREKLİ İYİLEŞTİRME VARDİYA AMİRİ</t>
  </si>
  <si>
    <t>ZA AKTARMA</t>
  </si>
  <si>
    <t>ZA APARAT</t>
  </si>
  <si>
    <t xml:space="preserve">ZA ARA DEPO </t>
  </si>
  <si>
    <t>ZA DRUM BÜKÜM</t>
  </si>
  <si>
    <t>ZA GERİ DÖNÜŞÜM</t>
  </si>
  <si>
    <t>ZA İZOLASYON</t>
  </si>
  <si>
    <t>ZA İZOLE BÜKÜM</t>
  </si>
  <si>
    <t xml:space="preserve">ZA KILIF </t>
  </si>
  <si>
    <t>ZA OPERATÖR YARDIMCISI</t>
  </si>
  <si>
    <t xml:space="preserve">ZA ORTACI </t>
  </si>
  <si>
    <t>ZA ÖRGÜ</t>
  </si>
  <si>
    <t>ZA VARDİYA AMİRİ</t>
  </si>
  <si>
    <t>Toplam</t>
  </si>
  <si>
    <t>MURAT KESKİN</t>
  </si>
  <si>
    <t>ALİHAN DEMİRTAŞ</t>
  </si>
  <si>
    <t>BİRKAN YARAR</t>
  </si>
  <si>
    <t>CENGİZ ÇETİN</t>
  </si>
  <si>
    <t>DERYA UYAR</t>
  </si>
  <si>
    <t>EDANUR BALTA</t>
  </si>
  <si>
    <t>ARZU BORA</t>
  </si>
  <si>
    <t>EDANUR ÇAKMAK</t>
  </si>
  <si>
    <t>ELANUR YILMAZ</t>
  </si>
  <si>
    <t>EREN HÜNERLİ</t>
  </si>
  <si>
    <t>ESER TUNÇYÜREK</t>
  </si>
  <si>
    <t>ESRA BALKI</t>
  </si>
  <si>
    <t>ESRA YASAN</t>
  </si>
  <si>
    <t>FAİK EKİNCİOĞLU</t>
  </si>
  <si>
    <t>GİZEMSENA KESKİN KABADAYI</t>
  </si>
  <si>
    <t>GÖKHAN YILMAZ</t>
  </si>
  <si>
    <t>GÜLCAN GÜLER</t>
  </si>
  <si>
    <t>HAKAN AKSOY</t>
  </si>
  <si>
    <t>HAKAN ÖZTÜRK</t>
  </si>
  <si>
    <t>HAKAN SOLMAZ</t>
  </si>
  <si>
    <t>HALİL GÜDELOĞLU</t>
  </si>
  <si>
    <t>HATİCE MUTLUYIL</t>
  </si>
  <si>
    <t>KEVSER BÜTÜN</t>
  </si>
  <si>
    <t>MEHMET BEKDEMİR</t>
  </si>
  <si>
    <t>MEHMET DEMİR</t>
  </si>
  <si>
    <t>METİN ÇETİN</t>
  </si>
  <si>
    <t>METİN DEMİRCİ</t>
  </si>
  <si>
    <t>MURAT CAN BAĞÇE</t>
  </si>
  <si>
    <t>MURAT KAHVECİ</t>
  </si>
  <si>
    <t>MURAT ÖZDEMİR</t>
  </si>
  <si>
    <t>OSMAN KAPUCU</t>
  </si>
  <si>
    <t>OSMAN ŞENYER</t>
  </si>
  <si>
    <t>SEDANUR KARKUCAK</t>
  </si>
  <si>
    <t>SEZER DONBAY</t>
  </si>
  <si>
    <t>SİNEM YILDIZ</t>
  </si>
  <si>
    <t>SÜLEYMAN BEŞER KARA</t>
  </si>
  <si>
    <t>ŞENOL KÖSE</t>
  </si>
  <si>
    <t>UMUTCAN BAŞ</t>
  </si>
  <si>
    <t>ÜMİT TEMİZ</t>
  </si>
  <si>
    <t>ZEYNEP PATAN</t>
  </si>
  <si>
    <t>ZA ÖRGÜ OPERATÖR</t>
  </si>
  <si>
    <t>ZA KILIF OPERATÖR</t>
  </si>
  <si>
    <t>ZA İZOLASYON LİDER</t>
  </si>
  <si>
    <t>ZA PAKETLEME OPERATÖR</t>
  </si>
  <si>
    <t>ZA PAKETLEME LİDER</t>
  </si>
  <si>
    <t>ZA DAMAR BÜKÜM OPERATÖR</t>
  </si>
  <si>
    <t>POZİSYON</t>
  </si>
  <si>
    <t>FABRİKA</t>
  </si>
  <si>
    <t>ZAYIF AKIM İŞLETME MÜDÜRLÜĞÜ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</si>
</sst>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charset val="162"/>
      <scheme val="minor"/>
    </font>
    <font>
      <sz val="15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5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1"/>
      <color rgb="FF000000"/>
      <name val="Aptos Narrow"/>
      <family val="2"/>
      <charset val="162"/>
    </font>
    <font>
      <sz val="11"/>
      <color rgb="FF000000"/>
      <name val="Aptos Narrow"/>
      <family val="2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charset val="162"/>
    </font>
    <font>
      <sz val="16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A9D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3" xfId="0" applyFont="1" applyBorder="1"/>
    <xf numFmtId="0" fontId="3" fillId="0" borderId="0" xfId="0" applyFont="1"/>
    <xf numFmtId="0" fontId="1" fillId="3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2" fillId="6" borderId="6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4" fillId="6" borderId="2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6">
    <cellStyle name="Normal" xfId="0" builtinId="0"/>
    <cellStyle name="Normal 2" xfId="4" xr:uid="{00000000-0005-0000-0000-000001000000}"/>
    <cellStyle name="Normal 3" xfId="3" xr:uid="{00000000-0005-0000-0000-000002000000}"/>
    <cellStyle name="Normal 4" xfId="1" xr:uid="{00000000-0005-0000-0000-000003000000}"/>
    <cellStyle name="Normal 5" xfId="2" xr:uid="{00000000-0005-0000-0000-000004000000}"/>
    <cellStyle name="Normal 6" xfId="5" xr:uid="{00000000-0005-0000-0000-000005000000}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sufbayram\Desktop\ZAYIF%20AKIM%20PERSONEL%20L&#304;STES&#304;.xlsx" TargetMode="External"/><Relationship Id="rId1" Type="http://schemas.openxmlformats.org/officeDocument/2006/relationships/externalLinkPath" Target="ZAYIF%20AKIM%20PERSONEL%20L&#304;STES&#3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3"/>
    </sheetNames>
    <sheetDataSet>
      <sheetData sheetId="0">
        <row r="1">
          <cell r="B1" t="str">
            <v xml:space="preserve">AD SOYAD </v>
          </cell>
          <cell r="C1" t="str">
            <v xml:space="preserve">ÇALIŞTIĞI HAT </v>
          </cell>
          <cell r="D1" t="str">
            <v>İSTİHDAM TARİHİ</v>
          </cell>
          <cell r="E1" t="str">
            <v xml:space="preserve">ÇALIŞMA SÜRESİ </v>
          </cell>
          <cell r="F1" t="str">
            <v>FABRİKA</v>
          </cell>
          <cell r="G1" t="str">
            <v xml:space="preserve">POZİSYON </v>
          </cell>
        </row>
        <row r="4">
          <cell r="B4" t="str">
            <v>MURAT EKİCİ</v>
          </cell>
          <cell r="C4" t="str">
            <v>ZA KILIF</v>
          </cell>
          <cell r="D4">
            <v>46055</v>
          </cell>
          <cell r="E4" t="str">
            <v>0 Yil 2 Ay 13 Gün</v>
          </cell>
          <cell r="F4" t="str">
            <v>ZAYIF AKIM İŞLETME MÜDÜRLÜĞÜ</v>
          </cell>
          <cell r="G4" t="str">
            <v>ZA KILIF LİDER</v>
          </cell>
        </row>
        <row r="5">
          <cell r="B5" t="str">
            <v>OSMAN KAPUCU</v>
          </cell>
          <cell r="C5" t="str">
            <v>ZA GERİ DÖNÜŞÜM ELEMANI</v>
          </cell>
          <cell r="D5">
            <v>43417</v>
          </cell>
          <cell r="E5" t="str">
            <v>7 Yil 5 Ay 2 Gün</v>
          </cell>
          <cell r="F5" t="str">
            <v>ZAYIF AKIM İŞLETME MÜDÜRLÜĞÜ</v>
          </cell>
          <cell r="G5" t="str">
            <v>ZA GERİ DÖNÜŞÜM ELEMANI</v>
          </cell>
        </row>
        <row r="6">
          <cell r="B6" t="str">
            <v>ESER TUNÇYÜREK</v>
          </cell>
          <cell r="C6" t="str">
            <v>ZA KILIF</v>
          </cell>
          <cell r="D6">
            <v>43080</v>
          </cell>
          <cell r="E6" t="str">
            <v>8 Yil 4 Ay 4 Gün</v>
          </cell>
          <cell r="F6" t="str">
            <v>ZAYIF AKIM İŞLETME MÜDÜRLÜĞÜ</v>
          </cell>
          <cell r="G6" t="str">
            <v>ZA KILIF LİDER</v>
          </cell>
        </row>
        <row r="7">
          <cell r="B7" t="str">
            <v>ALİHAN DEMİRTAŞ</v>
          </cell>
          <cell r="C7" t="str">
            <v>ZA ARA DEPO SORUMLUSU</v>
          </cell>
          <cell r="D7">
            <v>45532</v>
          </cell>
          <cell r="E7" t="str">
            <v>1 Yil 7 Ay 18 Gün</v>
          </cell>
          <cell r="F7" t="str">
            <v>ZAYIF AKIM İŞLETME MÜDÜRLÜĞÜ</v>
          </cell>
          <cell r="G7" t="str">
            <v>ZA ARADEPO GÖREVLİSİ</v>
          </cell>
        </row>
        <row r="8">
          <cell r="B8" t="str">
            <v>HATİCE MUTLUYIL</v>
          </cell>
          <cell r="C8" t="str">
            <v>ZA ÖRGÜ</v>
          </cell>
          <cell r="D8">
            <v>45757</v>
          </cell>
          <cell r="E8" t="str">
            <v>1 Yil 0 Ay 5 Gün</v>
          </cell>
          <cell r="F8" t="str">
            <v>ZAYIF AKIM İŞLETME MÜDÜRLÜĞÜ</v>
          </cell>
          <cell r="G8" t="str">
            <v>ZA ÖRGÜ OPERATÖR</v>
          </cell>
        </row>
        <row r="9">
          <cell r="B9" t="str">
            <v>CENGİZ ÇETİN</v>
          </cell>
          <cell r="C9" t="str">
            <v>ZA KILIF</v>
          </cell>
          <cell r="D9">
            <v>43392</v>
          </cell>
          <cell r="E9" t="str">
            <v>7 Yil 5 Ay 27 Gün</v>
          </cell>
          <cell r="F9" t="str">
            <v>ZAYIF AKIM İŞLETME MÜDÜRLÜĞÜ</v>
          </cell>
          <cell r="G9" t="str">
            <v>ZA KILIF LİDER</v>
          </cell>
        </row>
        <row r="10">
          <cell r="B10" t="str">
            <v>MEHMET DEMİR</v>
          </cell>
          <cell r="C10" t="str">
            <v>ZA İZOLE BÜKÜM</v>
          </cell>
          <cell r="D10">
            <v>43892</v>
          </cell>
          <cell r="E10" t="str">
            <v>6 Yil 1 Ay 13 Gün</v>
          </cell>
          <cell r="F10" t="str">
            <v>ZAYIF AKIM İŞLETME MÜDÜRLÜĞÜ</v>
          </cell>
          <cell r="G10" t="str">
            <v>ZA DAMAR BÜKÜM OPERATÖR</v>
          </cell>
        </row>
        <row r="11">
          <cell r="B11" t="str">
            <v>SEDANUR KARKUCAK</v>
          </cell>
          <cell r="C11" t="str">
            <v>ZA ÖRGÜ</v>
          </cell>
          <cell r="D11">
            <v>44844</v>
          </cell>
          <cell r="E11" t="str">
            <v>3 Yil 6 Ay 5 Gün</v>
          </cell>
          <cell r="F11" t="str">
            <v>ZAYIF AKIM İŞLETME MÜDÜRLÜĞÜ</v>
          </cell>
          <cell r="G11" t="str">
            <v>ZA ÖRGÜ OPERATÖR</v>
          </cell>
        </row>
        <row r="12">
          <cell r="B12" t="str">
            <v>EDANUR ÇAKMAK</v>
          </cell>
          <cell r="C12" t="str">
            <v>ZA ÖRGÜ</v>
          </cell>
          <cell r="D12">
            <v>45757</v>
          </cell>
          <cell r="E12" t="str">
            <v>1 Yil 0 Ay 5 Gün</v>
          </cell>
          <cell r="F12" t="str">
            <v>ZAYIF AKIM İŞLETME MÜDÜRLÜĞÜ</v>
          </cell>
          <cell r="G12" t="str">
            <v>ZA ÖRGÜ OPERATÖR</v>
          </cell>
        </row>
        <row r="13">
          <cell r="B13" t="str">
            <v>ESRA BALKI</v>
          </cell>
          <cell r="C13" t="str">
            <v>ZA ÖRGÜ</v>
          </cell>
          <cell r="D13">
            <v>45798</v>
          </cell>
          <cell r="E13" t="str">
            <v>0 Yil 10 Ay 25 Gün</v>
          </cell>
          <cell r="F13" t="str">
            <v>ZAYIF AKIM İŞLETME MÜDÜRLÜĞÜ</v>
          </cell>
          <cell r="G13" t="str">
            <v>ZA OPERATÖR YARDIMCISI</v>
          </cell>
        </row>
        <row r="14">
          <cell r="B14" t="str">
            <v>SİNEM YILDIZ</v>
          </cell>
          <cell r="C14" t="str">
            <v>ZA ORTACI</v>
          </cell>
          <cell r="D14">
            <v>45805</v>
          </cell>
          <cell r="E14" t="str">
            <v>0 Yil 10 Ay 18 Gün</v>
          </cell>
          <cell r="F14" t="str">
            <v>ZAYIF AKIM İŞLETME MÜDÜRLÜĞÜ</v>
          </cell>
          <cell r="G14" t="str">
            <v>ZA ORTACI</v>
          </cell>
        </row>
        <row r="15">
          <cell r="B15" t="str">
            <v>ARZU BORA</v>
          </cell>
          <cell r="C15" t="str">
            <v>ZA ÖRGÜ</v>
          </cell>
          <cell r="D15">
            <v>44256</v>
          </cell>
          <cell r="E15" t="str">
            <v>5 Yil 1 Ay 14 Gün</v>
          </cell>
          <cell r="F15" t="str">
            <v>ZAYIF AKIM İŞLETME MÜDÜRLÜĞÜ</v>
          </cell>
          <cell r="G15" t="str">
            <v>ZA ÖRGÜ LİDER</v>
          </cell>
        </row>
        <row r="16">
          <cell r="B16" t="str">
            <v>GÜLCAN GÜLER</v>
          </cell>
          <cell r="C16" t="str">
            <v>ZA ÖRGÜ</v>
          </cell>
          <cell r="D16">
            <v>45579</v>
          </cell>
          <cell r="E16" t="str">
            <v>1 Yil 6 Ay 1 Gün</v>
          </cell>
          <cell r="F16" t="str">
            <v>ZAYIF AKIM İŞLETME MÜDÜRLÜĞÜ</v>
          </cell>
          <cell r="G16" t="str">
            <v>ZA ÖRGÜ OPERATÖR</v>
          </cell>
        </row>
        <row r="17">
          <cell r="B17" t="str">
            <v>GİZEMSENA KESKİN KABADAYI</v>
          </cell>
          <cell r="C17" t="str">
            <v>ZA ÖRGÜ</v>
          </cell>
          <cell r="D17">
            <v>44774</v>
          </cell>
          <cell r="E17" t="str">
            <v>3 Yil 8 Ay 14 Gün</v>
          </cell>
          <cell r="F17" t="str">
            <v>ZAYIF AKIM İŞLETME MÜDÜRLÜĞÜ</v>
          </cell>
          <cell r="G17" t="str">
            <v>ZA ÖRGÜ LİDER</v>
          </cell>
        </row>
        <row r="18">
          <cell r="B18" t="str">
            <v>EREN HÜNERLİ</v>
          </cell>
          <cell r="C18" t="str">
            <v>ZA KILIF</v>
          </cell>
          <cell r="D18">
            <v>45757</v>
          </cell>
          <cell r="E18" t="str">
            <v>1 Yil 0 Ay 5 Gün</v>
          </cell>
          <cell r="F18" t="str">
            <v>ZAYIF AKIM İŞLETME MÜDÜRLÜĞÜ</v>
          </cell>
          <cell r="G18" t="str">
            <v>ZA KILIF OPERATÖR</v>
          </cell>
        </row>
        <row r="19">
          <cell r="B19" t="str">
            <v>ŞENOL KÖSE</v>
          </cell>
          <cell r="C19" t="str">
            <v>ZA AKTARMA</v>
          </cell>
          <cell r="D19">
            <v>42199</v>
          </cell>
          <cell r="E19" t="str">
            <v>10 Yil 9 Ay 1 Gün</v>
          </cell>
          <cell r="F19" t="str">
            <v>ZAYIF AKIM İŞLETME MÜDÜRLÜĞÜ</v>
          </cell>
          <cell r="G19" t="str">
            <v>ZA PAKETLEME LİDER</v>
          </cell>
        </row>
        <row r="20">
          <cell r="B20" t="str">
            <v>ELANUR YILMAZ</v>
          </cell>
          <cell r="C20" t="str">
            <v>ZA İZOLASYON</v>
          </cell>
          <cell r="D20">
            <v>45757</v>
          </cell>
          <cell r="E20" t="str">
            <v>1 Yil 0 Ay 5 Gün</v>
          </cell>
          <cell r="F20" t="str">
            <v>ZAYIF AKIM İŞLETME MÜDÜRLÜĞÜ</v>
          </cell>
          <cell r="G20" t="str">
            <v>ZA İZOLASYON OPERATÖR</v>
          </cell>
        </row>
        <row r="21">
          <cell r="B21" t="str">
            <v>UMUTCAN BAŞ</v>
          </cell>
          <cell r="C21" t="str">
            <v>ZA İZOLASYON</v>
          </cell>
          <cell r="D21">
            <v>45222</v>
          </cell>
          <cell r="E21" t="str">
            <v>2 Yil 5 Ay 23 Gün</v>
          </cell>
          <cell r="F21" t="str">
            <v>ZAYIF AKIM İŞLETME MÜDÜRLÜĞÜ</v>
          </cell>
          <cell r="G21" t="str">
            <v>ZA İZOLASYON LİDER</v>
          </cell>
        </row>
        <row r="22">
          <cell r="B22" t="str">
            <v>ZEYNEP PATAN</v>
          </cell>
          <cell r="C22" t="str">
            <v>ZA ÖRGÜ</v>
          </cell>
          <cell r="D22">
            <v>45579</v>
          </cell>
          <cell r="E22" t="str">
            <v>1 Yil 6 Ay 1 Gün</v>
          </cell>
          <cell r="F22" t="str">
            <v>ZAYIF AKIM İŞLETME MÜDÜRLÜĞÜ</v>
          </cell>
          <cell r="G22" t="str">
            <v>ZA ÖRGÜ OPERATÖR</v>
          </cell>
        </row>
        <row r="23">
          <cell r="B23" t="str">
            <v>SEZER DONBAY</v>
          </cell>
          <cell r="C23" t="str">
            <v>ZA KILIF</v>
          </cell>
          <cell r="D23">
            <v>44317</v>
          </cell>
          <cell r="E23" t="str">
            <v>4 Yil 11 Ay 14 Gün</v>
          </cell>
          <cell r="F23" t="str">
            <v>ZAYIF AKIM İŞLETME MÜDÜRLÜĞÜ</v>
          </cell>
          <cell r="G23" t="str">
            <v>ZA KILIF LİDER</v>
          </cell>
        </row>
        <row r="24">
          <cell r="B24" t="str">
            <v>OSMAN ŞENYER</v>
          </cell>
          <cell r="C24" t="str">
            <v>ZA KILIF</v>
          </cell>
          <cell r="D24">
            <v>44916</v>
          </cell>
          <cell r="E24" t="str">
            <v>3 Yil 3 Ay 25 Gün</v>
          </cell>
          <cell r="F24" t="str">
            <v>ZAYIF AKIM İŞLETME MÜDÜRLÜĞÜ</v>
          </cell>
          <cell r="G24" t="str">
            <v>ZA KILIF LİDER</v>
          </cell>
        </row>
        <row r="25">
          <cell r="B25" t="str">
            <v>ESRA YASAN</v>
          </cell>
          <cell r="C25" t="str">
            <v>ZA EKİPMAN SORUMLUSU</v>
          </cell>
          <cell r="D25">
            <v>45757</v>
          </cell>
          <cell r="E25" t="str">
            <v>1 Yil 0 Ay 5 Gün</v>
          </cell>
          <cell r="F25" t="str">
            <v>ZAYIF AKIM İŞLETME MÜDÜRLÜĞÜ</v>
          </cell>
          <cell r="G25" t="str">
            <v>ZA APARAT GÖREVLİSİ</v>
          </cell>
        </row>
        <row r="26">
          <cell r="B26" t="str">
            <v>KARDELEN FİDAN</v>
          </cell>
          <cell r="C26" t="str">
            <v>ZA AKTARMA</v>
          </cell>
          <cell r="D26">
            <v>45880</v>
          </cell>
          <cell r="E26" t="str">
            <v>0 Yil 8 Ay 4 Gün</v>
          </cell>
          <cell r="F26" t="str">
            <v>ZAYIF AKIM İŞLETME MÜDÜRLÜĞÜ</v>
          </cell>
          <cell r="G26" t="str">
            <v>ZA OPERATÖR YARDIMCISI</v>
          </cell>
        </row>
        <row r="27">
          <cell r="B27" t="str">
            <v>MURAT ÖZDEMİR</v>
          </cell>
          <cell r="C27" t="str">
            <v>ZA İZOLASYON</v>
          </cell>
          <cell r="D27">
            <v>44652</v>
          </cell>
          <cell r="E27" t="str">
            <v>4 Yil 0 Ay 14 Gün</v>
          </cell>
          <cell r="F27" t="str">
            <v>ZAYIF AKIM İŞLETME MÜDÜRLÜĞÜ</v>
          </cell>
          <cell r="G27" t="str">
            <v>ZA İZOLASYON LİDER</v>
          </cell>
        </row>
        <row r="28">
          <cell r="B28" t="str">
            <v>BİRKAN YARAR</v>
          </cell>
          <cell r="C28" t="str">
            <v>ZA DRUM BÜKÜM</v>
          </cell>
          <cell r="D28">
            <v>44886</v>
          </cell>
          <cell r="E28" t="str">
            <v>3 Yil 4 Ay 25 Gün</v>
          </cell>
          <cell r="F28" t="str">
            <v>ZAYIF AKIM İŞLETME MÜDÜRLÜĞÜ</v>
          </cell>
          <cell r="G28" t="str">
            <v>ZA DAMAR BÜKÜM LİDER</v>
          </cell>
        </row>
        <row r="29">
          <cell r="B29" t="str">
            <v>HAKAN SOLMAZ</v>
          </cell>
          <cell r="C29" t="str">
            <v>ZA İZOLASYON</v>
          </cell>
          <cell r="D29">
            <v>44886</v>
          </cell>
          <cell r="E29" t="str">
            <v>3 Yil 4 Ay 25 Gün</v>
          </cell>
          <cell r="F29" t="str">
            <v>ZAYIF AKIM İŞLETME MÜDÜRLÜĞÜ</v>
          </cell>
          <cell r="G29" t="str">
            <v>ZA İZOLASYON OPERATÖR</v>
          </cell>
        </row>
        <row r="30">
          <cell r="B30" t="str">
            <v>EMİRCAN KESKİN</v>
          </cell>
          <cell r="C30" t="str">
            <v>ZA BÜKÜM</v>
          </cell>
          <cell r="D30">
            <v>45964</v>
          </cell>
          <cell r="E30" t="str">
            <v>0 Yil 5 Ay 12 Gün</v>
          </cell>
          <cell r="F30" t="str">
            <v>ZAYIF AKIM İŞLETME MÜDÜRLÜĞÜ</v>
          </cell>
          <cell r="G30" t="str">
            <v>ZA OPERATÖR YARDIMCISI</v>
          </cell>
        </row>
        <row r="31">
          <cell r="B31" t="str">
            <v>NURAY UZUN</v>
          </cell>
          <cell r="C31" t="str">
            <v>ZA ARA DEPO SORUMLUSU</v>
          </cell>
          <cell r="D31">
            <v>45985</v>
          </cell>
          <cell r="E31" t="str">
            <v>0 Yil 4 Ay 22 Gün</v>
          </cell>
          <cell r="F31" t="str">
            <v>ZAYIF AKIM İŞLETME MÜDÜRLÜĞÜ</v>
          </cell>
          <cell r="G31" t="str">
            <v>ZA OPERATÖR YARDIMCISI</v>
          </cell>
        </row>
        <row r="32">
          <cell r="B32" t="str">
            <v>YUSUF İHSAN AKÇA</v>
          </cell>
          <cell r="C32" t="str">
            <v>ZA İZOLE BÜKÜM</v>
          </cell>
          <cell r="D32">
            <v>45992</v>
          </cell>
          <cell r="E32" t="str">
            <v>0 Yil 4 Ay 14 Gün</v>
          </cell>
          <cell r="F32" t="str">
            <v>ZAYIF AKIM İŞLETME MÜDÜRLÜĞÜ</v>
          </cell>
          <cell r="G32" t="str">
            <v>ZA OPERATÖR YARDIMCISI</v>
          </cell>
        </row>
        <row r="33">
          <cell r="B33" t="str">
            <v>BATUHAN YAMAN</v>
          </cell>
          <cell r="C33" t="str">
            <v>ZA İZOLE BÜKÜM</v>
          </cell>
          <cell r="D33">
            <v>45992</v>
          </cell>
          <cell r="E33" t="str">
            <v>0 Yil 4 Ay 14 Gün</v>
          </cell>
          <cell r="F33" t="str">
            <v>ZAYIF AKIM İŞLETME MÜDÜRLÜĞÜ</v>
          </cell>
          <cell r="G33" t="str">
            <v>ZA OPERATÖR YARDIMCISI</v>
          </cell>
        </row>
        <row r="34">
          <cell r="B34" t="str">
            <v>FURKAN TEKİN</v>
          </cell>
          <cell r="C34" t="str">
            <v>ZA İZOLE BÜKÜM</v>
          </cell>
          <cell r="D34">
            <v>45992</v>
          </cell>
          <cell r="E34" t="str">
            <v>0 Yil 4 Ay 14 Gün</v>
          </cell>
          <cell r="F34" t="str">
            <v>ZAYIF AKIM İŞLETME MÜDÜRLÜĞÜ</v>
          </cell>
          <cell r="G34" t="str">
            <v>ZA OPERATÖR YARDIMCISI</v>
          </cell>
        </row>
        <row r="35">
          <cell r="B35" t="str">
            <v>EMİNE KARAKUŞ</v>
          </cell>
          <cell r="C35" t="str">
            <v>ZA ÖRGÜ</v>
          </cell>
          <cell r="D35">
            <v>46013</v>
          </cell>
          <cell r="E35" t="str">
            <v>0 Yil 3 Ay 24 Gün</v>
          </cell>
          <cell r="F35" t="str">
            <v>ZAYIF AKIM İŞLETME MÜDÜRLÜĞÜ</v>
          </cell>
          <cell r="G35" t="str">
            <v>ZA ÖRGÜ OPERATÖR</v>
          </cell>
        </row>
        <row r="36">
          <cell r="B36" t="str">
            <v>BEKİR FURKAN HASANOĞLU</v>
          </cell>
          <cell r="C36" t="str">
            <v>AKTARMA 1</v>
          </cell>
          <cell r="D36">
            <v>46041</v>
          </cell>
          <cell r="E36" t="str">
            <v>0 Yil 2 Ay 27 Gün</v>
          </cell>
          <cell r="F36" t="str">
            <v>ZAYIF AKIM İŞLETME MÜDÜRLÜĞÜ</v>
          </cell>
          <cell r="G36" t="str">
            <v>ZA OPERATÖR YARDIMCISI</v>
          </cell>
        </row>
        <row r="37">
          <cell r="B37" t="str">
            <v>MERT DOMDOMOĞULLARI</v>
          </cell>
          <cell r="C37" t="str">
            <v>ZA İZOLE BÜKÜM</v>
          </cell>
          <cell r="D37">
            <v>46041</v>
          </cell>
          <cell r="E37" t="str">
            <v>0 Yil 2 Ay 27 Gün</v>
          </cell>
          <cell r="F37" t="str">
            <v>ZAYIF AKIM İŞLETME MÜDÜRLÜĞÜ</v>
          </cell>
          <cell r="G37" t="str">
            <v>ZA OPERATÖR YARDIMCISI</v>
          </cell>
        </row>
        <row r="38">
          <cell r="B38" t="str">
            <v>HAKAN ÖZTÜRK</v>
          </cell>
          <cell r="C38" t="str">
            <v>ZA AKTARNA</v>
          </cell>
          <cell r="D38">
            <v>45630</v>
          </cell>
          <cell r="E38" t="str">
            <v>1 Yil 4 Ay 11 Gün</v>
          </cell>
          <cell r="F38" t="str">
            <v>ZAYIF AKIM İŞLETME MÜDÜRLÜĞÜ</v>
          </cell>
          <cell r="G38" t="str">
            <v>ZA PAKETLEME OPERATÖR</v>
          </cell>
        </row>
        <row r="39">
          <cell r="B39" t="str">
            <v>MURAT KAHVECİ</v>
          </cell>
          <cell r="C39" t="str">
            <v>ZA AKTARMA</v>
          </cell>
          <cell r="D39">
            <v>44886</v>
          </cell>
          <cell r="E39" t="str">
            <v>3 Yil 4 Ay 25 Gün</v>
          </cell>
          <cell r="F39" t="str">
            <v>ZAYIF AKIM İŞLETME MÜDÜRLÜĞÜ</v>
          </cell>
          <cell r="G39" t="str">
            <v>ZA PAKETLEME OPERATÖR</v>
          </cell>
        </row>
        <row r="40">
          <cell r="B40" t="str">
            <v>MEHMET BEKDEMİR</v>
          </cell>
          <cell r="C40" t="str">
            <v>ZA İZOLASYON</v>
          </cell>
          <cell r="D40">
            <v>45672</v>
          </cell>
          <cell r="E40" t="str">
            <v>1 Yil 3 Ay 0 Gün</v>
          </cell>
          <cell r="F40" t="str">
            <v>ZAYIF AKIM İŞLETME MÜDÜRLÜĞÜ</v>
          </cell>
          <cell r="G40" t="str">
            <v>ZA İZOLASYON OPERATÖR</v>
          </cell>
        </row>
        <row r="41">
          <cell r="B41" t="str">
            <v>MELEK UZUN</v>
          </cell>
          <cell r="C41" t="str">
            <v>ZA ÖRGÜ</v>
          </cell>
          <cell r="D41">
            <v>46090</v>
          </cell>
          <cell r="E41" t="str">
            <v>0 Yil 1 Ay 6 Gün</v>
          </cell>
          <cell r="F41" t="str">
            <v>ZAYIF AKIM İŞLETME MÜDÜRLÜĞÜ</v>
          </cell>
          <cell r="G41" t="str">
            <v>ZA OPERATÖR YARDIMCISI</v>
          </cell>
        </row>
        <row r="42">
          <cell r="B42" t="str">
            <v>MUSA ÇOBANOĞLU</v>
          </cell>
          <cell r="C42" t="str">
            <v>ZA İZOLE BÜKÜM</v>
          </cell>
          <cell r="D42">
            <v>46076</v>
          </cell>
          <cell r="E42" t="str">
            <v>0 Yil 1 Ay 23 Gün</v>
          </cell>
          <cell r="F42" t="str">
            <v>ZAYIF AKIM İŞLETME MÜDÜRLÜĞÜ</v>
          </cell>
          <cell r="G42" t="str">
            <v>ZA OPERATÖR YARDIMCISI</v>
          </cell>
        </row>
        <row r="43">
          <cell r="B43" t="str">
            <v>HATİCE KÖSE</v>
          </cell>
          <cell r="C43" t="str">
            <v>ZA KORDON AKTARMA</v>
          </cell>
          <cell r="D43">
            <v>46097</v>
          </cell>
          <cell r="E43" t="str">
            <v>0 Yil 0 Ay 30 Gün</v>
          </cell>
          <cell r="F43" t="str">
            <v>ZAYIF AKIM İŞLETME MÜDÜRLÜĞÜ</v>
          </cell>
          <cell r="G43" t="str">
            <v>ZA OPERATÖR YARDIMCISI</v>
          </cell>
        </row>
        <row r="44">
          <cell r="B44" t="str">
            <v>UMUT KERİMAN</v>
          </cell>
          <cell r="C44" t="str">
            <v>ZA İZOLE BÜKÜM</v>
          </cell>
          <cell r="D44">
            <v>46097</v>
          </cell>
          <cell r="E44" t="str">
            <v>0 Yil 0 Ay 30 Gün</v>
          </cell>
          <cell r="F44" t="str">
            <v>ZAYIF AKIM İŞLETME MÜDÜRLÜĞÜ</v>
          </cell>
          <cell r="G44" t="str">
            <v>ZA OPERATÖR YARDIMCISI</v>
          </cell>
        </row>
        <row r="45">
          <cell r="B45" t="str">
            <v>SEVDENUR GÜLAL</v>
          </cell>
          <cell r="C45" t="str">
            <v>ZA İZOLASYON</v>
          </cell>
          <cell r="D45">
            <v>46097</v>
          </cell>
          <cell r="E45" t="str">
            <v>0 Yil 0 Ay 30 Gün</v>
          </cell>
          <cell r="F45" t="str">
            <v>ZAYIF AKIM İŞLETME MÜDÜRLÜĞÜ</v>
          </cell>
          <cell r="G45" t="str">
            <v>ZA OPERATÖR YARDIMCISI</v>
          </cell>
        </row>
        <row r="46">
          <cell r="B46" t="str">
            <v>SEBAHAT BOZDAĞ</v>
          </cell>
          <cell r="C46" t="str">
            <v>ZA İZOLASYON</v>
          </cell>
          <cell r="D46">
            <v>46125</v>
          </cell>
          <cell r="E46" t="str">
            <v>0 Yil 0 Ay 2 Gün</v>
          </cell>
          <cell r="F46" t="str">
            <v>ZAYIF AKIM İŞLETME MÜDÜRLÜĞÜ</v>
          </cell>
          <cell r="G46" t="str">
            <v>ZA OPERATÖR YARDIMCISI</v>
          </cell>
        </row>
        <row r="47">
          <cell r="B47" t="str">
            <v>METİN ÇETİN</v>
          </cell>
          <cell r="C47" t="str">
            <v>ZA KILIF</v>
          </cell>
          <cell r="D47">
            <v>43514</v>
          </cell>
          <cell r="E47" t="str">
            <v>7 Yıl 2 Ay 9 Gün</v>
          </cell>
          <cell r="F47" t="str">
            <v>ZAYIF AKIM İŞLETME MÜDÜRLÜĞÜ</v>
          </cell>
          <cell r="G47" t="str">
            <v>ZA KILIF OPERATÖR</v>
          </cell>
        </row>
        <row r="48">
          <cell r="B48" t="str">
            <v>HAKAN AKSOY</v>
          </cell>
          <cell r="C48" t="str">
            <v>ZA KILIF</v>
          </cell>
          <cell r="D48">
            <v>44287</v>
          </cell>
          <cell r="E48" t="str">
            <v>5 Yıl 0 Ay 26 Gün</v>
          </cell>
          <cell r="F48" t="str">
            <v>ZAYIF AKIM İŞLETME MÜDÜRLÜĞÜ</v>
          </cell>
          <cell r="G48" t="str">
            <v>ZA VARDİYA AMİRİ</v>
          </cell>
        </row>
        <row r="49">
          <cell r="B49" t="str">
            <v>MURAT KESKİN</v>
          </cell>
          <cell r="C49" t="str">
            <v>ZA KILIF</v>
          </cell>
          <cell r="D49">
            <v>43073</v>
          </cell>
          <cell r="E49" t="str">
            <v>9 Yıl 8 Ay 23 Gün</v>
          </cell>
          <cell r="F49" t="str">
            <v>ZAYIF AKIM İŞLETME MÜDÜRLÜĞÜ</v>
          </cell>
          <cell r="G49" t="str">
            <v>ZA VARDİYA AMİRİ</v>
          </cell>
        </row>
        <row r="50">
          <cell r="B50" t="str">
            <v>SÜLEYMAN BEŞER KARA</v>
          </cell>
          <cell r="C50" t="str">
            <v>ZA ARA DEPO SORUMLUSU</v>
          </cell>
          <cell r="D50">
            <v>45019</v>
          </cell>
          <cell r="E50" t="str">
            <v>3 Yıl 0 Ay 24 Gün</v>
          </cell>
          <cell r="F50" t="str">
            <v>ZAYIF AKIM İŞLETME MÜDÜRLÜĞÜ</v>
          </cell>
          <cell r="G50" t="str">
            <v>ZA ARADEPO GÖREVLİSİ</v>
          </cell>
        </row>
        <row r="51">
          <cell r="B51" t="str">
            <v>ÜMİT TEMİZ</v>
          </cell>
          <cell r="C51" t="str">
            <v>ZA İZOLE BÜKÜM</v>
          </cell>
          <cell r="D51">
            <v>45173</v>
          </cell>
          <cell r="E51" t="str">
            <v>3 Yıl 5 Ay 23 Gün</v>
          </cell>
          <cell r="F51" t="str">
            <v>ZAYIF AKIM İŞLETME MÜDÜRLÜĞÜ</v>
          </cell>
          <cell r="G51" t="str">
            <v>ZA DAMAR BÜKÜM LİDER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2"/>
  <sheetViews>
    <sheetView tabSelected="1" zoomScale="70" zoomScaleNormal="70" workbookViewId="0">
      <pane xSplit="5" ySplit="4" topLeftCell="F5" activePane="bottomRight" state="frozen"/>
      <selection pane="topRight" activeCell="H1" sqref="H1"/>
      <selection pane="bottomLeft" activeCell="A7" sqref="A7"/>
      <selection pane="bottomRight" activeCell="Q2" sqref="Q2"/>
    </sheetView>
  </sheetViews>
  <sheetFormatPr defaultColWidth="9.140625" defaultRowHeight="19.5" x14ac:dyDescent="0.25"/>
  <cols>
    <col min="1" max="1" width="12.42578125" style="10" customWidth="1"/>
    <col min="2" max="2" width="30.140625" style="7" bestFit="1" customWidth="1"/>
    <col min="3" max="3" width="9.140625" style="7" customWidth="1"/>
    <col min="4" max="4" width="17" style="7" customWidth="1"/>
    <col min="5" max="5" width="36.7109375" style="7" bestFit="1" customWidth="1"/>
    <col min="6" max="15" width="9.140625" style="10" customWidth="1"/>
    <col min="16" max="16" width="9.140625" style="10"/>
    <col min="17" max="17" width="17" style="10" customWidth="1"/>
    <col min="18" max="16384" width="9.140625" style="10"/>
  </cols>
  <sheetData>
    <row r="1" spans="1:17" s="7" customFormat="1" ht="32.25" customHeight="1" x14ac:dyDescent="0.25">
      <c r="A1" s="38"/>
      <c r="B1" s="38"/>
      <c r="C1" s="38"/>
      <c r="D1" s="38"/>
      <c r="E1" s="38"/>
      <c r="F1" s="28" t="s">
        <v>3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90.75" customHeight="1" x14ac:dyDescent="0.25">
      <c r="A2" s="39" t="s">
        <v>0</v>
      </c>
      <c r="B2" s="39"/>
      <c r="C2" s="39"/>
      <c r="D2" s="39"/>
      <c r="E2" s="39"/>
      <c r="F2" s="5" t="s">
        <v>56</v>
      </c>
      <c r="G2" s="5" t="s">
        <v>57</v>
      </c>
      <c r="H2" s="5" t="s">
        <v>58</v>
      </c>
      <c r="I2" s="5" t="s">
        <v>59</v>
      </c>
      <c r="J2" s="5" t="s">
        <v>60</v>
      </c>
      <c r="K2" s="5" t="s">
        <v>61</v>
      </c>
      <c r="L2" s="5" t="s">
        <v>62</v>
      </c>
      <c r="M2" s="5" t="s">
        <v>63</v>
      </c>
      <c r="N2" s="5" t="s">
        <v>64</v>
      </c>
      <c r="O2" s="5" t="s">
        <v>65</v>
      </c>
      <c r="P2" s="5" t="s">
        <v>66</v>
      </c>
      <c r="Q2" s="5" t="s">
        <v>25</v>
      </c>
    </row>
    <row r="3" spans="1:17" ht="32.25" customHeight="1" x14ac:dyDescent="0.25">
      <c r="A3" s="12"/>
      <c r="B3" s="12"/>
      <c r="C3" s="12"/>
      <c r="D3" s="12"/>
      <c r="E3" s="12" t="s">
        <v>24</v>
      </c>
      <c r="F3" s="22">
        <v>23</v>
      </c>
      <c r="G3" s="22">
        <v>12</v>
      </c>
      <c r="H3" s="22">
        <v>13</v>
      </c>
      <c r="I3" s="22">
        <v>27</v>
      </c>
      <c r="J3" s="22">
        <v>11</v>
      </c>
      <c r="K3" s="22">
        <v>27</v>
      </c>
      <c r="L3" s="22">
        <v>23</v>
      </c>
      <c r="M3" s="22">
        <v>29</v>
      </c>
      <c r="N3" s="22">
        <v>0</v>
      </c>
      <c r="O3" s="22">
        <v>9</v>
      </c>
      <c r="P3" s="22">
        <v>21</v>
      </c>
      <c r="Q3" s="5"/>
    </row>
    <row r="4" spans="1:17" s="4" customFormat="1" ht="30.75" customHeight="1" x14ac:dyDescent="0.3">
      <c r="A4" s="1" t="s">
        <v>1</v>
      </c>
      <c r="B4" s="8" t="s">
        <v>2</v>
      </c>
      <c r="C4" s="42" t="s">
        <v>116</v>
      </c>
      <c r="D4" s="43"/>
      <c r="E4" s="8" t="s">
        <v>115</v>
      </c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0.100000000000001" customHeight="1" x14ac:dyDescent="0.25">
      <c r="A5" s="9">
        <v>1</v>
      </c>
      <c r="B5" s="27" t="s">
        <v>70</v>
      </c>
      <c r="C5" s="30" t="s">
        <v>117</v>
      </c>
      <c r="D5" s="31"/>
      <c r="E5" s="13" t="str">
        <f>VLOOKUP(B5,[1]Sayfa3!$B:$G,6,0)</f>
        <v>ZA ARADEPO GÖREVLİSİ</v>
      </c>
      <c r="F5" s="9">
        <v>2</v>
      </c>
      <c r="G5" s="9">
        <v>0</v>
      </c>
      <c r="H5" s="9">
        <v>4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f>+($F$3*F5)+($G$3*G5)+($H$3*H5)+($I$3*I5)+($J$3*J5)+($K$3*K5)+($L$3*L5)+($M$3*M5)+($N$3*N5)+($O$3*O5)+($P$3*P5)</f>
        <v>98</v>
      </c>
    </row>
    <row r="6" spans="1:17" ht="20.100000000000001" customHeight="1" x14ac:dyDescent="0.25">
      <c r="A6" s="9">
        <v>2</v>
      </c>
      <c r="B6" s="27" t="s">
        <v>75</v>
      </c>
      <c r="C6" s="30" t="s">
        <v>117</v>
      </c>
      <c r="D6" s="31"/>
      <c r="E6" s="13" t="str">
        <f>VLOOKUP(B6,[1]Sayfa3!$B:$G,6,0)</f>
        <v>ZA ÖRGÜ LİDER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4</v>
      </c>
      <c r="Q6" s="9">
        <f t="shared" ref="Q6:Q44" si="0">+($F$3*F6)+($G$3*G6)+($H$3*H6)+($I$3*I6)+($J$3*J6)+($K$3*K6)+($L$3*L6)+($M$3*M6)+($N$3*N6)+($O$3*O6)+($P$3*P6)</f>
        <v>84</v>
      </c>
    </row>
    <row r="7" spans="1:17" ht="20.100000000000001" customHeight="1" x14ac:dyDescent="0.25">
      <c r="A7" s="9">
        <v>3</v>
      </c>
      <c r="B7" s="27" t="s">
        <v>71</v>
      </c>
      <c r="C7" s="30" t="s">
        <v>117</v>
      </c>
      <c r="D7" s="31"/>
      <c r="E7" s="13" t="str">
        <f>VLOOKUP(B7,[1]Sayfa3!$B:$G,6,0)</f>
        <v>ZA DAMAR BÜKÜM LİDER</v>
      </c>
      <c r="F7" s="9">
        <v>0</v>
      </c>
      <c r="G7" s="9">
        <v>0</v>
      </c>
      <c r="H7" s="9">
        <v>0</v>
      </c>
      <c r="I7" s="9">
        <v>4</v>
      </c>
      <c r="J7" s="9">
        <v>0</v>
      </c>
      <c r="K7" s="9">
        <v>0</v>
      </c>
      <c r="L7" s="9">
        <v>4</v>
      </c>
      <c r="M7" s="9">
        <v>0</v>
      </c>
      <c r="N7" s="9">
        <v>0</v>
      </c>
      <c r="O7" s="9">
        <v>0</v>
      </c>
      <c r="P7" s="9">
        <v>0</v>
      </c>
      <c r="Q7" s="9">
        <f t="shared" si="0"/>
        <v>200</v>
      </c>
    </row>
    <row r="8" spans="1:17" ht="20.100000000000001" customHeight="1" x14ac:dyDescent="0.25">
      <c r="A8" s="9">
        <v>4</v>
      </c>
      <c r="B8" s="27" t="s">
        <v>72</v>
      </c>
      <c r="C8" s="30" t="s">
        <v>117</v>
      </c>
      <c r="D8" s="31"/>
      <c r="E8" s="13" t="str">
        <f>VLOOKUP(B8,[1]Sayfa3!$B:$G,6,0)</f>
        <v>ZA KILIF LİDER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</v>
      </c>
      <c r="N8" s="9">
        <v>0</v>
      </c>
      <c r="O8" s="9">
        <v>0</v>
      </c>
      <c r="P8" s="9">
        <v>0</v>
      </c>
      <c r="Q8" s="9">
        <f t="shared" si="0"/>
        <v>162</v>
      </c>
    </row>
    <row r="9" spans="1:17" ht="19.899999999999999" customHeight="1" x14ac:dyDescent="0.25">
      <c r="A9" s="9">
        <v>5</v>
      </c>
      <c r="B9" s="27" t="s">
        <v>73</v>
      </c>
      <c r="C9" s="30" t="s">
        <v>117</v>
      </c>
      <c r="D9" s="31"/>
      <c r="E9" s="13" t="s">
        <v>109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4</v>
      </c>
      <c r="Q9" s="9">
        <f t="shared" si="0"/>
        <v>84</v>
      </c>
    </row>
    <row r="10" spans="1:17" ht="20.100000000000001" customHeight="1" x14ac:dyDescent="0.25">
      <c r="A10" s="9">
        <v>6</v>
      </c>
      <c r="B10" s="27" t="s">
        <v>74</v>
      </c>
      <c r="C10" s="30" t="s">
        <v>117</v>
      </c>
      <c r="D10" s="31"/>
      <c r="E10" s="13" t="s">
        <v>109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4</v>
      </c>
      <c r="Q10" s="9">
        <f t="shared" si="0"/>
        <v>84</v>
      </c>
    </row>
    <row r="11" spans="1:17" ht="20.100000000000001" customHeight="1" x14ac:dyDescent="0.25">
      <c r="A11" s="9">
        <v>7</v>
      </c>
      <c r="B11" s="27" t="s">
        <v>76</v>
      </c>
      <c r="C11" s="30" t="s">
        <v>117</v>
      </c>
      <c r="D11" s="31"/>
      <c r="E11" s="13" t="str">
        <f>VLOOKUP(B11,[1]Sayfa3!$B:$G,6,0)</f>
        <v>ZA ÖRGÜ OPERATÖR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4</v>
      </c>
      <c r="Q11" s="9">
        <f t="shared" si="0"/>
        <v>84</v>
      </c>
    </row>
    <row r="12" spans="1:17" ht="20.100000000000001" customHeight="1" x14ac:dyDescent="0.25">
      <c r="A12" s="9">
        <v>8</v>
      </c>
      <c r="B12" s="27" t="s">
        <v>77</v>
      </c>
      <c r="C12" s="30" t="s">
        <v>117</v>
      </c>
      <c r="D12" s="31"/>
      <c r="E12" s="13" t="str">
        <f>VLOOKUP(B12,[1]Sayfa3!$B:$G,6,0)</f>
        <v>ZA İZOLASYON OPERATÖR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9">
        <v>2</v>
      </c>
      <c r="Q12" s="9">
        <f t="shared" si="0"/>
        <v>123</v>
      </c>
    </row>
    <row r="13" spans="1:17" ht="20.100000000000001" customHeight="1" x14ac:dyDescent="0.25">
      <c r="A13" s="9">
        <v>9</v>
      </c>
      <c r="B13" s="27" t="s">
        <v>78</v>
      </c>
      <c r="C13" s="30" t="s">
        <v>117</v>
      </c>
      <c r="D13" s="31"/>
      <c r="E13" s="13" t="str">
        <f>VLOOKUP(B13,[1]Sayfa3!$B:$G,6,0)</f>
        <v>ZA KILIF OPERATÖR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3</v>
      </c>
      <c r="N13" s="9">
        <v>0</v>
      </c>
      <c r="O13" s="9">
        <v>0</v>
      </c>
      <c r="P13" s="9">
        <v>0</v>
      </c>
      <c r="Q13" s="9">
        <f t="shared" si="0"/>
        <v>87</v>
      </c>
    </row>
    <row r="14" spans="1:17" ht="20.100000000000001" customHeight="1" x14ac:dyDescent="0.25">
      <c r="A14" s="9">
        <v>10</v>
      </c>
      <c r="B14" s="27" t="s">
        <v>79</v>
      </c>
      <c r="C14" s="30" t="s">
        <v>117</v>
      </c>
      <c r="D14" s="31"/>
      <c r="E14" s="13" t="str">
        <f>VLOOKUP(B14,[1]Sayfa3!$B:$G,6,0)</f>
        <v>ZA KILIF LİDER</v>
      </c>
      <c r="F14" s="9">
        <v>4</v>
      </c>
      <c r="G14" s="9">
        <v>0</v>
      </c>
      <c r="H14" s="9">
        <v>4</v>
      </c>
      <c r="I14" s="9">
        <v>2</v>
      </c>
      <c r="J14" s="9">
        <v>0</v>
      </c>
      <c r="K14" s="9">
        <v>4</v>
      </c>
      <c r="L14" s="9">
        <v>3</v>
      </c>
      <c r="M14" s="9">
        <v>4</v>
      </c>
      <c r="N14" s="9">
        <v>0</v>
      </c>
      <c r="O14" s="9">
        <v>0</v>
      </c>
      <c r="P14" s="9">
        <v>0</v>
      </c>
      <c r="Q14" s="9">
        <f t="shared" si="0"/>
        <v>491</v>
      </c>
    </row>
    <row r="15" spans="1:17" ht="20.100000000000001" customHeight="1" x14ac:dyDescent="0.25">
      <c r="A15" s="9">
        <v>11</v>
      </c>
      <c r="B15" s="27" t="s">
        <v>80</v>
      </c>
      <c r="C15" s="30" t="s">
        <v>117</v>
      </c>
      <c r="D15" s="31"/>
      <c r="E15" s="13" t="str">
        <f>VLOOKUP(B15,[1]Sayfa3!$B:$G,6,0)</f>
        <v>ZA OPERATÖR YARDIMCISI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3</v>
      </c>
      <c r="Q15" s="9">
        <f t="shared" si="0"/>
        <v>63</v>
      </c>
    </row>
    <row r="16" spans="1:17" ht="20.100000000000001" customHeight="1" x14ac:dyDescent="0.25">
      <c r="A16" s="9">
        <v>12</v>
      </c>
      <c r="B16" s="27" t="s">
        <v>81</v>
      </c>
      <c r="C16" s="30" t="s">
        <v>117</v>
      </c>
      <c r="D16" s="31"/>
      <c r="E16" s="13" t="str">
        <f>VLOOKUP(B16,[1]Sayfa3!$B:$G,6,0)</f>
        <v>ZA APARAT GÖREVLİSİ</v>
      </c>
      <c r="F16" s="9">
        <v>0</v>
      </c>
      <c r="G16" s="9">
        <v>3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2</v>
      </c>
      <c r="Q16" s="9">
        <f t="shared" si="0"/>
        <v>78</v>
      </c>
    </row>
    <row r="17" spans="1:17" ht="20.100000000000001" customHeight="1" x14ac:dyDescent="0.25">
      <c r="A17" s="9">
        <v>13</v>
      </c>
      <c r="B17" s="27" t="s">
        <v>82</v>
      </c>
      <c r="C17" s="30" t="s">
        <v>117</v>
      </c>
      <c r="D17" s="31"/>
      <c r="E17" s="13" t="s">
        <v>110</v>
      </c>
      <c r="F17" s="9">
        <v>3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3</v>
      </c>
      <c r="N17" s="9">
        <v>0</v>
      </c>
      <c r="O17" s="9">
        <v>0</v>
      </c>
      <c r="P17" s="9">
        <v>0</v>
      </c>
      <c r="Q17" s="9">
        <f t="shared" si="0"/>
        <v>156</v>
      </c>
    </row>
    <row r="18" spans="1:17" ht="20.100000000000001" customHeight="1" x14ac:dyDescent="0.25">
      <c r="A18" s="9">
        <v>14</v>
      </c>
      <c r="B18" s="27" t="s">
        <v>83</v>
      </c>
      <c r="C18" s="30" t="s">
        <v>117</v>
      </c>
      <c r="D18" s="31"/>
      <c r="E18" s="13" t="str">
        <f>VLOOKUP(B18,[1]Sayfa3!$B:$G,6,0)</f>
        <v>ZA ÖRGÜ LİDER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4</v>
      </c>
      <c r="Q18" s="9">
        <f t="shared" si="0"/>
        <v>84</v>
      </c>
    </row>
    <row r="19" spans="1:17" ht="20.100000000000001" customHeight="1" x14ac:dyDescent="0.25">
      <c r="A19" s="9">
        <v>15</v>
      </c>
      <c r="B19" s="27" t="s">
        <v>84</v>
      </c>
      <c r="C19" s="30" t="s">
        <v>117</v>
      </c>
      <c r="D19" s="31"/>
      <c r="E19" s="13" t="s">
        <v>111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4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f t="shared" si="0"/>
        <v>154</v>
      </c>
    </row>
    <row r="20" spans="1:17" ht="20.100000000000001" customHeight="1" x14ac:dyDescent="0.25">
      <c r="A20" s="9">
        <v>16</v>
      </c>
      <c r="B20" s="27" t="s">
        <v>85</v>
      </c>
      <c r="C20" s="30" t="s">
        <v>117</v>
      </c>
      <c r="D20" s="31"/>
      <c r="E20" s="13" t="str">
        <f>VLOOKUP(B20,[1]Sayfa3!$B:$G,6,0)</f>
        <v>ZA ÖRGÜ OPERATÖR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4</v>
      </c>
      <c r="Q20" s="9">
        <f t="shared" si="0"/>
        <v>84</v>
      </c>
    </row>
    <row r="21" spans="1:17" ht="20.100000000000001" customHeight="1" x14ac:dyDescent="0.25">
      <c r="A21" s="9">
        <v>17</v>
      </c>
      <c r="B21" s="27" t="s">
        <v>86</v>
      </c>
      <c r="C21" s="30" t="s">
        <v>117</v>
      </c>
      <c r="D21" s="31"/>
      <c r="E21" s="13" t="str">
        <f>VLOOKUP(B21,[1]Sayfa3!$B:$G,6,0)</f>
        <v>ZA VARDİYA AMİRİ</v>
      </c>
      <c r="F21" s="9">
        <v>0</v>
      </c>
      <c r="G21" s="9">
        <v>0</v>
      </c>
      <c r="H21" s="9">
        <v>0</v>
      </c>
      <c r="I21" s="9">
        <v>4</v>
      </c>
      <c r="J21" s="9">
        <v>0</v>
      </c>
      <c r="K21" s="9">
        <v>4</v>
      </c>
      <c r="L21" s="9">
        <v>4</v>
      </c>
      <c r="M21" s="9">
        <v>4</v>
      </c>
      <c r="N21" s="9">
        <v>0</v>
      </c>
      <c r="O21" s="9">
        <v>0</v>
      </c>
      <c r="P21" s="9">
        <v>0</v>
      </c>
      <c r="Q21" s="9">
        <f t="shared" si="0"/>
        <v>424</v>
      </c>
    </row>
    <row r="22" spans="1:17" ht="20.100000000000001" customHeight="1" x14ac:dyDescent="0.25">
      <c r="A22" s="9">
        <v>18</v>
      </c>
      <c r="B22" s="27" t="s">
        <v>87</v>
      </c>
      <c r="C22" s="30" t="s">
        <v>117</v>
      </c>
      <c r="D22" s="31"/>
      <c r="E22" s="13" t="str">
        <f>VLOOKUP(B22,[1]Sayfa3!$B:$G,6,0)</f>
        <v>ZA PAKETLEME OPERATÖR</v>
      </c>
      <c r="F22" s="9">
        <v>3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2</v>
      </c>
      <c r="M22" s="9">
        <v>0</v>
      </c>
      <c r="N22" s="9">
        <v>0</v>
      </c>
      <c r="O22" s="9">
        <v>0</v>
      </c>
      <c r="P22" s="9">
        <v>0</v>
      </c>
      <c r="Q22" s="9">
        <f t="shared" si="0"/>
        <v>115</v>
      </c>
    </row>
    <row r="23" spans="1:17" ht="20.100000000000001" customHeight="1" x14ac:dyDescent="0.25">
      <c r="A23" s="9">
        <v>19</v>
      </c>
      <c r="B23" s="27" t="s">
        <v>88</v>
      </c>
      <c r="C23" s="30" t="s">
        <v>117</v>
      </c>
      <c r="D23" s="31"/>
      <c r="E23" s="13" t="str">
        <f>VLOOKUP(B23,[1]Sayfa3!$B:$G,6,0)</f>
        <v>ZA İZOLASYON OPERATÖR</v>
      </c>
      <c r="F23" s="9">
        <v>2</v>
      </c>
      <c r="G23" s="9">
        <v>0</v>
      </c>
      <c r="H23" s="9">
        <v>0</v>
      </c>
      <c r="I23" s="9">
        <v>0</v>
      </c>
      <c r="J23" s="9">
        <v>0</v>
      </c>
      <c r="K23" s="9">
        <v>4</v>
      </c>
      <c r="L23" s="9">
        <v>4</v>
      </c>
      <c r="M23" s="9">
        <v>1</v>
      </c>
      <c r="N23" s="9">
        <v>0</v>
      </c>
      <c r="O23" s="9">
        <v>0</v>
      </c>
      <c r="P23" s="9">
        <v>0</v>
      </c>
      <c r="Q23" s="9">
        <f t="shared" si="0"/>
        <v>275</v>
      </c>
    </row>
    <row r="24" spans="1:17" ht="20.100000000000001" customHeight="1" x14ac:dyDescent="0.25">
      <c r="A24" s="9">
        <v>20</v>
      </c>
      <c r="B24" s="27" t="s">
        <v>89</v>
      </c>
      <c r="C24" s="30" t="s">
        <v>117</v>
      </c>
      <c r="D24" s="31"/>
      <c r="E24" s="13" t="s">
        <v>112</v>
      </c>
      <c r="F24" s="9">
        <v>4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f t="shared" si="0"/>
        <v>92</v>
      </c>
    </row>
    <row r="25" spans="1:17" ht="20.100000000000001" customHeight="1" x14ac:dyDescent="0.25">
      <c r="A25" s="9">
        <v>21</v>
      </c>
      <c r="B25" s="27" t="s">
        <v>90</v>
      </c>
      <c r="C25" s="30" t="s">
        <v>117</v>
      </c>
      <c r="D25" s="31"/>
      <c r="E25" s="13" t="str">
        <f>VLOOKUP(B25,[1]Sayfa3!$B:$G,6,0)</f>
        <v>ZA ÖRGÜ OPERATÖR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4</v>
      </c>
      <c r="Q25" s="9">
        <f t="shared" si="0"/>
        <v>84</v>
      </c>
    </row>
    <row r="26" spans="1:17" ht="20.100000000000001" customHeight="1" x14ac:dyDescent="0.25">
      <c r="A26" s="9">
        <v>22</v>
      </c>
      <c r="B26" s="27" t="s">
        <v>91</v>
      </c>
      <c r="C26" s="30" t="s">
        <v>117</v>
      </c>
      <c r="D26" s="31"/>
      <c r="E26" s="13" t="s">
        <v>109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3</v>
      </c>
      <c r="Q26" s="9">
        <f t="shared" si="0"/>
        <v>63</v>
      </c>
    </row>
    <row r="27" spans="1:17" ht="20.100000000000001" customHeight="1" x14ac:dyDescent="0.25">
      <c r="A27" s="9">
        <v>23</v>
      </c>
      <c r="B27" s="27" t="s">
        <v>92</v>
      </c>
      <c r="C27" s="30" t="s">
        <v>117</v>
      </c>
      <c r="D27" s="31"/>
      <c r="E27" s="13" t="str">
        <f>VLOOKUP(B27,[1]Sayfa3!$B:$G,6,0)</f>
        <v>ZA İZOLASYON OPERATÖR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3</v>
      </c>
      <c r="M27" s="9">
        <v>0</v>
      </c>
      <c r="N27" s="9">
        <v>0</v>
      </c>
      <c r="O27" s="9">
        <v>0</v>
      </c>
      <c r="P27" s="9">
        <v>0</v>
      </c>
      <c r="Q27" s="9">
        <f t="shared" si="0"/>
        <v>69</v>
      </c>
    </row>
    <row r="28" spans="1:17" ht="20.100000000000001" customHeight="1" x14ac:dyDescent="0.25">
      <c r="A28" s="9">
        <v>24</v>
      </c>
      <c r="B28" s="27" t="s">
        <v>93</v>
      </c>
      <c r="C28" s="30" t="s">
        <v>117</v>
      </c>
      <c r="D28" s="31"/>
      <c r="E28" s="13" t="str">
        <f>VLOOKUP(B28,[1]Sayfa3!$B:$G,6,0)</f>
        <v>ZA DAMAR BÜKÜM OPERATÖR</v>
      </c>
      <c r="F28" s="9">
        <v>0</v>
      </c>
      <c r="G28" s="9">
        <v>0</v>
      </c>
      <c r="H28" s="9">
        <v>0</v>
      </c>
      <c r="I28" s="9">
        <v>4</v>
      </c>
      <c r="J28" s="9">
        <v>0</v>
      </c>
      <c r="K28" s="9">
        <v>0</v>
      </c>
      <c r="L28" s="9">
        <v>4</v>
      </c>
      <c r="M28" s="9">
        <v>0</v>
      </c>
      <c r="N28" s="9">
        <v>0</v>
      </c>
      <c r="O28" s="9">
        <v>0</v>
      </c>
      <c r="P28" s="9">
        <v>0</v>
      </c>
      <c r="Q28" s="9">
        <f t="shared" si="0"/>
        <v>200</v>
      </c>
    </row>
    <row r="29" spans="1:17" ht="20.100000000000001" customHeight="1" x14ac:dyDescent="0.25">
      <c r="A29" s="9">
        <v>27</v>
      </c>
      <c r="B29" s="27" t="s">
        <v>94</v>
      </c>
      <c r="C29" s="30" t="s">
        <v>117</v>
      </c>
      <c r="D29" s="31"/>
      <c r="E29" s="13" t="str">
        <f>VLOOKUP(B29,[1]Sayfa3!$B:$G,6,0)</f>
        <v>ZA KILIF OPERATÖR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4</v>
      </c>
      <c r="N29" s="9">
        <v>0</v>
      </c>
      <c r="O29" s="9">
        <v>0</v>
      </c>
      <c r="P29" s="9">
        <v>0</v>
      </c>
      <c r="Q29" s="9">
        <f t="shared" si="0"/>
        <v>116</v>
      </c>
    </row>
    <row r="30" spans="1:17" ht="20.100000000000001" customHeight="1" x14ac:dyDescent="0.25">
      <c r="A30" s="9">
        <v>28</v>
      </c>
      <c r="B30" s="27" t="s">
        <v>95</v>
      </c>
      <c r="C30" s="30" t="s">
        <v>117</v>
      </c>
      <c r="D30" s="31"/>
      <c r="E30" s="13" t="s">
        <v>113</v>
      </c>
      <c r="F30" s="9">
        <v>4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f t="shared" si="0"/>
        <v>92</v>
      </c>
    </row>
    <row r="31" spans="1:17" ht="20.100000000000001" customHeight="1" x14ac:dyDescent="0.25">
      <c r="A31" s="9">
        <v>29</v>
      </c>
      <c r="B31" s="27" t="s">
        <v>96</v>
      </c>
      <c r="C31" s="30" t="s">
        <v>117</v>
      </c>
      <c r="D31" s="31"/>
      <c r="E31" s="13" t="s">
        <v>114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2</v>
      </c>
      <c r="L31" s="9">
        <v>4</v>
      </c>
      <c r="M31" s="9">
        <v>0</v>
      </c>
      <c r="N31" s="9">
        <v>0</v>
      </c>
      <c r="O31" s="9">
        <v>0</v>
      </c>
      <c r="P31" s="9">
        <v>0</v>
      </c>
      <c r="Q31" s="9">
        <f t="shared" si="0"/>
        <v>146</v>
      </c>
    </row>
    <row r="32" spans="1:17" ht="20.100000000000001" customHeight="1" x14ac:dyDescent="0.25">
      <c r="A32" s="9">
        <v>30</v>
      </c>
      <c r="B32" s="27" t="s">
        <v>97</v>
      </c>
      <c r="C32" s="30" t="s">
        <v>117</v>
      </c>
      <c r="D32" s="31"/>
      <c r="E32" s="13" t="str">
        <f>VLOOKUP(B32,[1]Sayfa3!$B:$G,6,0)</f>
        <v>ZA PAKETLEME OPERATÖR</v>
      </c>
      <c r="F32" s="9">
        <v>4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f t="shared" si="0"/>
        <v>92</v>
      </c>
    </row>
    <row r="33" spans="1:17" ht="20.100000000000001" customHeight="1" x14ac:dyDescent="0.25">
      <c r="A33" s="9">
        <v>31</v>
      </c>
      <c r="B33" s="27" t="s">
        <v>69</v>
      </c>
      <c r="C33" s="30" t="s">
        <v>117</v>
      </c>
      <c r="D33" s="31"/>
      <c r="E33" s="13" t="str">
        <f>VLOOKUP(B33,[1]Sayfa3!$B:$G,6,0)</f>
        <v>ZA VARDİYA AMİRİ</v>
      </c>
      <c r="F33" s="9">
        <v>4</v>
      </c>
      <c r="G33" s="9">
        <v>0</v>
      </c>
      <c r="H33" s="9">
        <v>0</v>
      </c>
      <c r="I33" s="9">
        <v>4</v>
      </c>
      <c r="J33" s="9">
        <v>0</v>
      </c>
      <c r="K33" s="9">
        <v>4</v>
      </c>
      <c r="L33" s="9">
        <v>4</v>
      </c>
      <c r="M33" s="9">
        <v>4</v>
      </c>
      <c r="N33" s="9">
        <v>0</v>
      </c>
      <c r="O33" s="9">
        <v>0</v>
      </c>
      <c r="P33" s="9">
        <v>3</v>
      </c>
      <c r="Q33" s="9">
        <f t="shared" si="0"/>
        <v>579</v>
      </c>
    </row>
    <row r="34" spans="1:17" ht="22.15" customHeight="1" x14ac:dyDescent="0.25">
      <c r="A34" s="9">
        <v>32</v>
      </c>
      <c r="B34" s="27" t="s">
        <v>98</v>
      </c>
      <c r="C34" s="30" t="s">
        <v>117</v>
      </c>
      <c r="D34" s="31"/>
      <c r="E34" s="13" t="str">
        <f>VLOOKUP(B34,[1]Sayfa3!$B:$G,6,0)</f>
        <v>ZA İZOLASYON LİDER</v>
      </c>
      <c r="F34" s="9">
        <v>0</v>
      </c>
      <c r="G34" s="9">
        <v>0</v>
      </c>
      <c r="H34" s="9">
        <v>0</v>
      </c>
      <c r="I34" s="9">
        <v>4</v>
      </c>
      <c r="J34" s="9">
        <v>0</v>
      </c>
      <c r="K34" s="9">
        <v>4</v>
      </c>
      <c r="L34" s="9">
        <v>4</v>
      </c>
      <c r="M34" s="9">
        <v>0</v>
      </c>
      <c r="N34" s="9">
        <v>0</v>
      </c>
      <c r="O34" s="9">
        <v>0</v>
      </c>
      <c r="P34" s="9">
        <v>0</v>
      </c>
      <c r="Q34" s="9">
        <f t="shared" si="0"/>
        <v>308</v>
      </c>
    </row>
    <row r="35" spans="1:17" ht="20.100000000000001" customHeight="1" x14ac:dyDescent="0.25">
      <c r="A35" s="9">
        <v>33</v>
      </c>
      <c r="B35" s="27" t="s">
        <v>99</v>
      </c>
      <c r="C35" s="30" t="s">
        <v>117</v>
      </c>
      <c r="D35" s="31"/>
      <c r="E35" s="13" t="str">
        <f>VLOOKUP(B35,[1]Sayfa3!$B:$G,6,0)</f>
        <v>ZA GERİ DÖNÜŞÜM ELEMANI</v>
      </c>
      <c r="F35" s="9">
        <v>0</v>
      </c>
      <c r="G35" s="9">
        <v>0</v>
      </c>
      <c r="H35" s="9">
        <v>0</v>
      </c>
      <c r="I35" s="9">
        <v>0</v>
      </c>
      <c r="J35" s="9">
        <v>4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f t="shared" si="0"/>
        <v>44</v>
      </c>
    </row>
    <row r="36" spans="1:17" ht="20.100000000000001" customHeight="1" x14ac:dyDescent="0.25">
      <c r="A36" s="9">
        <v>34</v>
      </c>
      <c r="B36" s="27" t="s">
        <v>100</v>
      </c>
      <c r="C36" s="30" t="s">
        <v>117</v>
      </c>
      <c r="D36" s="31"/>
      <c r="E36" s="13" t="str">
        <f>VLOOKUP(B36,[1]Sayfa3!$B:$G,6,0)</f>
        <v>ZA KILIF LİDER</v>
      </c>
      <c r="F36" s="9">
        <v>0</v>
      </c>
      <c r="G36" s="9">
        <v>0</v>
      </c>
      <c r="H36" s="9">
        <v>3</v>
      </c>
      <c r="I36" s="9">
        <v>0</v>
      </c>
      <c r="J36" s="9">
        <v>0</v>
      </c>
      <c r="K36" s="9">
        <v>0</v>
      </c>
      <c r="L36" s="9">
        <v>0</v>
      </c>
      <c r="M36" s="9">
        <v>4</v>
      </c>
      <c r="N36" s="9">
        <v>0</v>
      </c>
      <c r="O36" s="9">
        <v>0</v>
      </c>
      <c r="P36" s="9">
        <v>0</v>
      </c>
      <c r="Q36" s="9">
        <f t="shared" si="0"/>
        <v>155</v>
      </c>
    </row>
    <row r="37" spans="1:17" ht="20.100000000000001" customHeight="1" x14ac:dyDescent="0.25">
      <c r="A37" s="9">
        <v>37</v>
      </c>
      <c r="B37" s="27" t="s">
        <v>101</v>
      </c>
      <c r="C37" s="30" t="s">
        <v>117</v>
      </c>
      <c r="D37" s="31"/>
      <c r="E37" s="13" t="str">
        <f>VLOOKUP(B37,[1]Sayfa3!$B:$G,6,0)</f>
        <v>ZA ÖRGÜ OPERATÖR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4</v>
      </c>
      <c r="Q37" s="9">
        <f t="shared" si="0"/>
        <v>84</v>
      </c>
    </row>
    <row r="38" spans="1:17" ht="20.100000000000001" customHeight="1" x14ac:dyDescent="0.25">
      <c r="A38" s="9">
        <v>39</v>
      </c>
      <c r="B38" s="27" t="s">
        <v>102</v>
      </c>
      <c r="C38" s="30" t="s">
        <v>117</v>
      </c>
      <c r="D38" s="31"/>
      <c r="E38" s="13" t="str">
        <f>VLOOKUP(B38,[1]Sayfa3!$B:$G,6,0)</f>
        <v>ZA KILIF LİDER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4</v>
      </c>
      <c r="N38" s="9">
        <v>0</v>
      </c>
      <c r="O38" s="9">
        <v>0</v>
      </c>
      <c r="P38" s="9">
        <v>0</v>
      </c>
      <c r="Q38" s="9">
        <f t="shared" si="0"/>
        <v>116</v>
      </c>
    </row>
    <row r="39" spans="1:17" ht="20.100000000000001" customHeight="1" x14ac:dyDescent="0.25">
      <c r="A39" s="9">
        <v>40</v>
      </c>
      <c r="B39" s="27" t="s">
        <v>103</v>
      </c>
      <c r="C39" s="30" t="s">
        <v>117</v>
      </c>
      <c r="D39" s="31"/>
      <c r="E39" s="13" t="str">
        <f>VLOOKUP(B39,[1]Sayfa3!$B:$G,6,0)</f>
        <v>ZA ORTACI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4</v>
      </c>
      <c r="P39" s="9">
        <v>0</v>
      </c>
      <c r="Q39" s="9">
        <f t="shared" si="0"/>
        <v>36</v>
      </c>
    </row>
    <row r="40" spans="1:17" ht="20.100000000000001" customHeight="1" x14ac:dyDescent="0.25">
      <c r="A40" s="9">
        <v>41</v>
      </c>
      <c r="B40" s="27" t="s">
        <v>104</v>
      </c>
      <c r="C40" s="30" t="s">
        <v>117</v>
      </c>
      <c r="D40" s="31"/>
      <c r="E40" s="13" t="str">
        <f>VLOOKUP(B40,[1]Sayfa3!$B:$G,6,0)</f>
        <v>ZA ARADEPO GÖREVLİSİ</v>
      </c>
      <c r="F40" s="9">
        <v>0</v>
      </c>
      <c r="G40" s="9">
        <v>0</v>
      </c>
      <c r="H40" s="9">
        <v>4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f t="shared" si="0"/>
        <v>52</v>
      </c>
    </row>
    <row r="41" spans="1:17" ht="20.100000000000001" customHeight="1" x14ac:dyDescent="0.25">
      <c r="A41" s="9">
        <v>42</v>
      </c>
      <c r="B41" s="27" t="s">
        <v>105</v>
      </c>
      <c r="C41" s="30" t="s">
        <v>117</v>
      </c>
      <c r="D41" s="31"/>
      <c r="E41" s="13" t="str">
        <f>VLOOKUP(B41,[1]Sayfa3!$B:$G,6,0)</f>
        <v>ZA PAKETLEME LİDER</v>
      </c>
      <c r="F41" s="9">
        <v>4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f t="shared" si="0"/>
        <v>92</v>
      </c>
    </row>
    <row r="42" spans="1:17" ht="20.100000000000001" customHeight="1" x14ac:dyDescent="0.25">
      <c r="A42" s="9">
        <v>43</v>
      </c>
      <c r="B42" s="27" t="s">
        <v>106</v>
      </c>
      <c r="C42" s="30" t="s">
        <v>117</v>
      </c>
      <c r="D42" s="31"/>
      <c r="E42" s="13" t="str">
        <f>VLOOKUP(B42,[1]Sayfa3!$B:$G,6,0)</f>
        <v>ZA İZOLASYON LİDER</v>
      </c>
      <c r="F42" s="9">
        <v>2</v>
      </c>
      <c r="G42" s="9">
        <v>0</v>
      </c>
      <c r="H42" s="9">
        <v>0</v>
      </c>
      <c r="I42" s="9">
        <v>0</v>
      </c>
      <c r="J42" s="9">
        <v>0</v>
      </c>
      <c r="K42" s="9">
        <v>4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f t="shared" si="0"/>
        <v>154</v>
      </c>
    </row>
    <row r="43" spans="1:17" ht="20.100000000000001" customHeight="1" x14ac:dyDescent="0.25">
      <c r="A43" s="9">
        <v>44</v>
      </c>
      <c r="B43" s="27" t="s">
        <v>107</v>
      </c>
      <c r="C43" s="30" t="s">
        <v>117</v>
      </c>
      <c r="D43" s="31"/>
      <c r="E43" s="13" t="str">
        <f>VLOOKUP(B43,[1]Sayfa3!$B:$G,6,0)</f>
        <v>ZA DAMAR BÜKÜM LİDER</v>
      </c>
      <c r="F43" s="9">
        <v>0</v>
      </c>
      <c r="G43" s="9">
        <v>0</v>
      </c>
      <c r="H43" s="9">
        <v>0</v>
      </c>
      <c r="I43" s="9">
        <v>4</v>
      </c>
      <c r="J43" s="9">
        <v>0</v>
      </c>
      <c r="K43" s="9">
        <v>4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f t="shared" si="0"/>
        <v>216</v>
      </c>
    </row>
    <row r="44" spans="1:17" ht="19.899999999999999" customHeight="1" x14ac:dyDescent="0.25">
      <c r="A44" s="9">
        <v>45</v>
      </c>
      <c r="B44" s="27" t="s">
        <v>108</v>
      </c>
      <c r="C44" s="30" t="s">
        <v>117</v>
      </c>
      <c r="D44" s="31"/>
      <c r="E44" s="13" t="str">
        <f>VLOOKUP(B44,[1]Sayfa3!$B:$G,6,0)</f>
        <v>ZA ÖRGÜ OPERATÖR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4</v>
      </c>
      <c r="Q44" s="9">
        <f t="shared" si="0"/>
        <v>84</v>
      </c>
    </row>
    <row r="45" spans="1:17" ht="20.100000000000001" customHeight="1" x14ac:dyDescent="0.25">
      <c r="A45" s="9">
        <v>46</v>
      </c>
      <c r="B45" s="27"/>
      <c r="C45" s="30"/>
      <c r="D45" s="31"/>
      <c r="E45" s="13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s="11" customFormat="1" ht="20.100000000000001" customHeight="1" x14ac:dyDescent="0.25">
      <c r="A46" s="9">
        <v>47</v>
      </c>
      <c r="B46" s="27"/>
      <c r="C46" s="30"/>
      <c r="D46" s="31"/>
      <c r="E46" s="13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s="11" customFormat="1" ht="20.100000000000001" customHeight="1" x14ac:dyDescent="0.25">
      <c r="A47" s="9">
        <v>48</v>
      </c>
      <c r="B47" s="27"/>
      <c r="C47" s="30"/>
      <c r="D47" s="31"/>
      <c r="E47" s="14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s="11" customFormat="1" ht="20.100000000000001" customHeight="1" x14ac:dyDescent="0.25">
      <c r="A48" s="9">
        <v>49</v>
      </c>
      <c r="B48" s="27"/>
      <c r="C48" s="30"/>
      <c r="D48" s="31"/>
      <c r="E48" s="14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s="11" customFormat="1" ht="20.100000000000001" customHeight="1" x14ac:dyDescent="0.25">
      <c r="A49" s="9">
        <v>50</v>
      </c>
      <c r="B49" s="27"/>
      <c r="C49" s="30"/>
      <c r="D49" s="31"/>
      <c r="E49" s="14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s="11" customFormat="1" ht="20.100000000000001" customHeight="1" x14ac:dyDescent="0.25">
      <c r="A50" s="9">
        <v>51</v>
      </c>
      <c r="B50" s="27"/>
      <c r="C50" s="30"/>
      <c r="D50" s="31"/>
      <c r="E50" s="14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s="11" customFormat="1" ht="20.100000000000001" customHeight="1" x14ac:dyDescent="0.25">
      <c r="A51" s="9">
        <v>52</v>
      </c>
      <c r="B51" s="27"/>
      <c r="C51" s="30"/>
      <c r="D51" s="31"/>
      <c r="E51" s="14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s="11" customFormat="1" ht="20.100000000000001" customHeight="1" x14ac:dyDescent="0.25">
      <c r="A52" s="9">
        <v>53</v>
      </c>
      <c r="B52" s="27"/>
      <c r="C52" s="30"/>
      <c r="D52" s="31"/>
      <c r="E52" s="13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s="11" customFormat="1" ht="20.100000000000001" customHeight="1" x14ac:dyDescent="0.25">
      <c r="A53" s="9">
        <v>54</v>
      </c>
      <c r="B53" s="27"/>
      <c r="C53" s="30"/>
      <c r="D53" s="31"/>
      <c r="E53" s="13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s="11" customFormat="1" ht="20.100000000000001" customHeight="1" x14ac:dyDescent="0.25">
      <c r="A54" s="9">
        <v>55</v>
      </c>
      <c r="B54" s="27"/>
      <c r="C54" s="30"/>
      <c r="D54" s="31"/>
      <c r="E54" s="13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s="11" customFormat="1" ht="20.100000000000001" customHeight="1" x14ac:dyDescent="0.25">
      <c r="A55" s="9">
        <v>56</v>
      </c>
      <c r="B55" s="27"/>
      <c r="C55" s="30"/>
      <c r="D55" s="31"/>
      <c r="E55" s="13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s="11" customFormat="1" ht="20.100000000000001" customHeight="1" x14ac:dyDescent="0.25">
      <c r="A56" s="9">
        <v>57</v>
      </c>
      <c r="B56" s="27"/>
      <c r="C56" s="30"/>
      <c r="D56" s="31"/>
      <c r="E56" s="13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s="11" customFormat="1" ht="20.100000000000001" customHeight="1" x14ac:dyDescent="0.25">
      <c r="A57" s="9">
        <v>58</v>
      </c>
      <c r="B57" s="27"/>
      <c r="C57" s="30"/>
      <c r="D57" s="31"/>
      <c r="E57" s="13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s="11" customFormat="1" ht="20.100000000000001" customHeight="1" x14ac:dyDescent="0.25">
      <c r="A58" s="9">
        <v>59</v>
      </c>
      <c r="B58" s="27"/>
      <c r="C58" s="30"/>
      <c r="D58" s="31"/>
      <c r="E58" s="13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s="11" customFormat="1" ht="20.100000000000001" customHeight="1" x14ac:dyDescent="0.25">
      <c r="A59" s="9">
        <v>60</v>
      </c>
      <c r="B59" s="27"/>
      <c r="C59" s="30"/>
      <c r="D59" s="31"/>
      <c r="E59" s="13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s="11" customFormat="1" ht="20.100000000000001" customHeight="1" x14ac:dyDescent="0.25">
      <c r="A60" s="9">
        <v>61</v>
      </c>
      <c r="B60" s="27"/>
      <c r="C60" s="30"/>
      <c r="D60" s="31"/>
      <c r="E60" s="13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s="11" customFormat="1" ht="20.100000000000001" customHeight="1" x14ac:dyDescent="0.25">
      <c r="A61" s="9">
        <v>62</v>
      </c>
      <c r="B61" s="27"/>
      <c r="C61" s="30"/>
      <c r="D61" s="31"/>
      <c r="E61" s="13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20.100000000000001" customHeight="1" x14ac:dyDescent="0.25">
      <c r="A62" s="9">
        <v>63</v>
      </c>
      <c r="B62" s="27"/>
      <c r="C62" s="30"/>
      <c r="D62" s="31"/>
      <c r="E62" s="13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20.100000000000001" customHeight="1" x14ac:dyDescent="0.25">
      <c r="A63" s="9">
        <v>64</v>
      </c>
      <c r="B63" s="27"/>
      <c r="C63" s="30"/>
      <c r="D63" s="31"/>
      <c r="E63" s="13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20.100000000000001" customHeight="1" x14ac:dyDescent="0.25">
      <c r="A64" s="9">
        <v>65</v>
      </c>
      <c r="B64" s="27"/>
      <c r="C64" s="30"/>
      <c r="D64" s="31"/>
      <c r="E64" s="15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20.100000000000001" customHeight="1" x14ac:dyDescent="0.25">
      <c r="A65" s="9">
        <v>66</v>
      </c>
      <c r="B65" s="27"/>
      <c r="C65" s="30"/>
      <c r="D65" s="31"/>
      <c r="E65" s="13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20.100000000000001" customHeight="1" x14ac:dyDescent="0.25">
      <c r="A66" s="9">
        <v>67</v>
      </c>
      <c r="B66" s="27"/>
      <c r="C66" s="30"/>
      <c r="D66" s="31"/>
      <c r="E66" s="13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20.100000000000001" customHeight="1" x14ac:dyDescent="0.25">
      <c r="A67" s="9">
        <v>68</v>
      </c>
      <c r="B67" s="27"/>
      <c r="C67" s="30"/>
      <c r="D67" s="31"/>
      <c r="E67" s="13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20.100000000000001" customHeight="1" x14ac:dyDescent="0.25">
      <c r="A68" s="9">
        <v>69</v>
      </c>
      <c r="B68" s="27"/>
      <c r="C68" s="30"/>
      <c r="D68" s="31"/>
      <c r="E68" s="13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20.100000000000001" customHeight="1" x14ac:dyDescent="0.25">
      <c r="A69" s="9">
        <v>70</v>
      </c>
      <c r="B69" s="27"/>
      <c r="C69" s="30"/>
      <c r="D69" s="31"/>
      <c r="E69" s="13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20.100000000000001" customHeight="1" x14ac:dyDescent="0.25">
      <c r="A70" s="9">
        <v>71</v>
      </c>
      <c r="B70" s="27"/>
      <c r="C70" s="30"/>
      <c r="D70" s="31"/>
      <c r="E70" s="13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20.100000000000001" customHeight="1" x14ac:dyDescent="0.25">
      <c r="A71" s="9">
        <v>72</v>
      </c>
      <c r="B71" s="27"/>
      <c r="C71" s="30"/>
      <c r="D71" s="31"/>
      <c r="E71" s="13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20.100000000000001" customHeight="1" x14ac:dyDescent="0.25">
      <c r="A72" s="9">
        <v>73</v>
      </c>
      <c r="B72" s="27"/>
      <c r="C72" s="30"/>
      <c r="D72" s="31"/>
      <c r="E72" s="13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20.100000000000001" customHeight="1" x14ac:dyDescent="0.25">
      <c r="A73" s="9">
        <v>74</v>
      </c>
      <c r="B73" s="27"/>
      <c r="C73" s="30"/>
      <c r="D73" s="31"/>
      <c r="E73" s="13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ht="20.100000000000001" customHeight="1" x14ac:dyDescent="0.25">
      <c r="A74" s="9">
        <v>75</v>
      </c>
      <c r="B74" s="27"/>
      <c r="C74" s="30"/>
      <c r="D74" s="31"/>
      <c r="E74" s="13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20.100000000000001" customHeight="1" x14ac:dyDescent="0.25">
      <c r="A75" s="9">
        <v>76</v>
      </c>
      <c r="B75" s="27"/>
      <c r="C75" s="30"/>
      <c r="D75" s="31"/>
      <c r="E75" s="13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ht="20.100000000000001" customHeight="1" x14ac:dyDescent="0.25">
      <c r="A76" s="9">
        <v>77</v>
      </c>
      <c r="B76" s="27"/>
      <c r="C76" s="36"/>
      <c r="D76" s="37"/>
      <c r="E76" s="6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20.100000000000001" customHeight="1" x14ac:dyDescent="0.25">
      <c r="A77" s="9">
        <v>78</v>
      </c>
      <c r="B77" s="27"/>
      <c r="C77" s="36"/>
      <c r="D77" s="37"/>
      <c r="E77" s="6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20.100000000000001" customHeight="1" x14ac:dyDescent="0.25">
      <c r="A78" s="9">
        <v>79</v>
      </c>
      <c r="B78" s="27"/>
      <c r="C78" s="36"/>
      <c r="D78" s="37"/>
      <c r="E78" s="6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20.100000000000001" customHeight="1" x14ac:dyDescent="0.25">
      <c r="A79" s="9">
        <v>80</v>
      </c>
      <c r="B79" s="27"/>
      <c r="C79" s="36"/>
      <c r="D79" s="37"/>
      <c r="E79" s="6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20.100000000000001" customHeight="1" x14ac:dyDescent="0.25">
      <c r="A80" s="9">
        <v>81</v>
      </c>
      <c r="B80" s="27"/>
      <c r="C80" s="36"/>
      <c r="D80" s="37"/>
      <c r="E80" s="6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23" ht="20.100000000000001" customHeight="1" x14ac:dyDescent="0.25">
      <c r="A81" s="9">
        <v>82</v>
      </c>
      <c r="B81" s="27"/>
      <c r="C81" s="40"/>
      <c r="D81" s="41"/>
      <c r="E81" s="6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23" ht="39.75" customHeight="1" thickBot="1" x14ac:dyDescent="0.3">
      <c r="A82" s="25">
        <v>1</v>
      </c>
      <c r="B82" s="27"/>
      <c r="C82" s="33" t="s">
        <v>4</v>
      </c>
      <c r="D82" s="34"/>
      <c r="E82" s="35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spans="1:23" ht="39.75" customHeight="1" thickBot="1" x14ac:dyDescent="0.3">
      <c r="A83" s="25">
        <v>2</v>
      </c>
      <c r="B83" s="27"/>
      <c r="C83" s="33" t="s">
        <v>5</v>
      </c>
      <c r="D83" s="34"/>
      <c r="E83" s="35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spans="1:23" ht="39.75" customHeight="1" thickBot="1" x14ac:dyDescent="0.3">
      <c r="A84" s="25">
        <v>3</v>
      </c>
      <c r="B84" s="27"/>
      <c r="C84" s="33" t="s">
        <v>6</v>
      </c>
      <c r="D84" s="34"/>
      <c r="E84" s="35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 spans="1:23" ht="39.75" customHeight="1" thickBot="1" x14ac:dyDescent="0.3">
      <c r="A85" s="25">
        <v>4</v>
      </c>
      <c r="B85" s="27"/>
      <c r="C85" s="33" t="s">
        <v>7</v>
      </c>
      <c r="D85" s="34"/>
      <c r="E85" s="35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spans="1:23" ht="15" customHeight="1" x14ac:dyDescent="0.25">
      <c r="B86" s="27"/>
      <c r="F86" s="23"/>
      <c r="G86" s="23"/>
      <c r="H86" s="23"/>
      <c r="I86" s="23"/>
      <c r="J86" s="23"/>
      <c r="K86" s="24"/>
    </row>
    <row r="87" spans="1:23" x14ac:dyDescent="0.25">
      <c r="B87" s="27"/>
      <c r="C87" s="32"/>
      <c r="D87" s="32"/>
    </row>
    <row r="88" spans="1:23" x14ac:dyDescent="0.25">
      <c r="B88" s="27"/>
      <c r="C88" s="32"/>
      <c r="D88" s="32"/>
    </row>
    <row r="89" spans="1:23" x14ac:dyDescent="0.25">
      <c r="B89" s="27"/>
      <c r="C89" s="32"/>
      <c r="D89" s="32"/>
    </row>
    <row r="90" spans="1:23" x14ac:dyDescent="0.25">
      <c r="B90" s="27"/>
      <c r="C90" s="32"/>
      <c r="D90" s="32"/>
    </row>
    <row r="91" spans="1:23" x14ac:dyDescent="0.25">
      <c r="B91" s="27"/>
      <c r="C91" s="32"/>
      <c r="D91" s="32"/>
    </row>
    <row r="92" spans="1:23" x14ac:dyDescent="0.25">
      <c r="B92" s="27"/>
      <c r="C92" s="32"/>
      <c r="D92" s="32"/>
    </row>
    <row r="93" spans="1:23" x14ac:dyDescent="0.25">
      <c r="B93" s="27"/>
      <c r="C93" s="32"/>
      <c r="D93" s="32"/>
    </row>
    <row r="94" spans="1:23" x14ac:dyDescent="0.25">
      <c r="B94" s="27"/>
      <c r="C94" s="32"/>
      <c r="D94" s="32"/>
    </row>
    <row r="95" spans="1:23" x14ac:dyDescent="0.25">
      <c r="B95" s="27"/>
      <c r="C95" s="32"/>
      <c r="D95" s="32"/>
    </row>
    <row r="96" spans="1:23" x14ac:dyDescent="0.25">
      <c r="B96" s="27"/>
      <c r="C96" s="32"/>
      <c r="D96" s="32"/>
    </row>
    <row r="97" spans="2:4" x14ac:dyDescent="0.25">
      <c r="B97" s="27"/>
      <c r="C97" s="32"/>
      <c r="D97" s="32"/>
    </row>
    <row r="98" spans="2:4" x14ac:dyDescent="0.25">
      <c r="B98" s="27"/>
      <c r="C98" s="32"/>
      <c r="D98" s="32"/>
    </row>
    <row r="99" spans="2:4" x14ac:dyDescent="0.25">
      <c r="C99" s="32"/>
      <c r="D99" s="32"/>
    </row>
    <row r="100" spans="2:4" x14ac:dyDescent="0.25">
      <c r="C100" s="32"/>
      <c r="D100" s="32"/>
    </row>
    <row r="101" spans="2:4" x14ac:dyDescent="0.25">
      <c r="C101" s="32"/>
      <c r="D101" s="32"/>
    </row>
    <row r="102" spans="2:4" x14ac:dyDescent="0.25">
      <c r="C102" s="32"/>
      <c r="D102" s="32"/>
    </row>
    <row r="103" spans="2:4" x14ac:dyDescent="0.25">
      <c r="C103" s="32"/>
      <c r="D103" s="32"/>
    </row>
    <row r="104" spans="2:4" x14ac:dyDescent="0.25">
      <c r="C104" s="32"/>
      <c r="D104" s="32"/>
    </row>
    <row r="105" spans="2:4" x14ac:dyDescent="0.25">
      <c r="C105" s="32"/>
      <c r="D105" s="32"/>
    </row>
    <row r="106" spans="2:4" x14ac:dyDescent="0.25">
      <c r="C106" s="32"/>
      <c r="D106" s="32"/>
    </row>
    <row r="107" spans="2:4" x14ac:dyDescent="0.25">
      <c r="C107" s="32"/>
      <c r="D107" s="32"/>
    </row>
    <row r="108" spans="2:4" x14ac:dyDescent="0.25">
      <c r="C108" s="32"/>
      <c r="D108" s="32"/>
    </row>
    <row r="109" spans="2:4" x14ac:dyDescent="0.25">
      <c r="C109" s="32"/>
      <c r="D109" s="32"/>
    </row>
    <row r="110" spans="2:4" x14ac:dyDescent="0.25">
      <c r="C110" s="32"/>
      <c r="D110" s="32"/>
    </row>
    <row r="111" spans="2:4" x14ac:dyDescent="0.25">
      <c r="C111" s="32"/>
      <c r="D111" s="32"/>
    </row>
    <row r="112" spans="2:4" x14ac:dyDescent="0.25">
      <c r="C112" s="32"/>
      <c r="D112" s="32"/>
    </row>
    <row r="113" spans="3:4" x14ac:dyDescent="0.25">
      <c r="C113" s="32"/>
      <c r="D113" s="32"/>
    </row>
    <row r="114" spans="3:4" x14ac:dyDescent="0.25">
      <c r="C114" s="32"/>
      <c r="D114" s="32"/>
    </row>
    <row r="115" spans="3:4" x14ac:dyDescent="0.25">
      <c r="C115" s="32"/>
      <c r="D115" s="32"/>
    </row>
    <row r="116" spans="3:4" x14ac:dyDescent="0.25">
      <c r="C116" s="32"/>
      <c r="D116" s="32"/>
    </row>
    <row r="117" spans="3:4" x14ac:dyDescent="0.25">
      <c r="C117" s="32"/>
      <c r="D117" s="32"/>
    </row>
    <row r="118" spans="3:4" x14ac:dyDescent="0.25">
      <c r="C118" s="32"/>
      <c r="D118" s="32"/>
    </row>
    <row r="119" spans="3:4" x14ac:dyDescent="0.25">
      <c r="C119" s="32"/>
      <c r="D119" s="32"/>
    </row>
    <row r="120" spans="3:4" x14ac:dyDescent="0.25">
      <c r="C120" s="32"/>
      <c r="D120" s="32"/>
    </row>
    <row r="121" spans="3:4" x14ac:dyDescent="0.25">
      <c r="C121" s="32"/>
      <c r="D121" s="32"/>
    </row>
    <row r="122" spans="3:4" x14ac:dyDescent="0.25">
      <c r="C122" s="32"/>
      <c r="D122" s="32"/>
    </row>
    <row r="123" spans="3:4" x14ac:dyDescent="0.25">
      <c r="C123" s="32"/>
      <c r="D123" s="32"/>
    </row>
    <row r="124" spans="3:4" x14ac:dyDescent="0.25">
      <c r="C124" s="32"/>
      <c r="D124" s="32"/>
    </row>
    <row r="125" spans="3:4" x14ac:dyDescent="0.25">
      <c r="C125" s="32"/>
      <c r="D125" s="32"/>
    </row>
    <row r="126" spans="3:4" x14ac:dyDescent="0.25">
      <c r="C126" s="32"/>
      <c r="D126" s="32"/>
    </row>
    <row r="127" spans="3:4" x14ac:dyDescent="0.25">
      <c r="C127" s="32"/>
      <c r="D127" s="32"/>
    </row>
    <row r="128" spans="3:4" x14ac:dyDescent="0.25">
      <c r="C128" s="32"/>
      <c r="D128" s="32"/>
    </row>
    <row r="129" spans="3:4" x14ac:dyDescent="0.25">
      <c r="C129" s="32"/>
      <c r="D129" s="32"/>
    </row>
    <row r="130" spans="3:4" x14ac:dyDescent="0.25">
      <c r="C130" s="32"/>
      <c r="D130" s="32"/>
    </row>
    <row r="131" spans="3:4" x14ac:dyDescent="0.25">
      <c r="C131" s="32"/>
      <c r="D131" s="32"/>
    </row>
    <row r="132" spans="3:4" x14ac:dyDescent="0.25">
      <c r="C132" s="32"/>
      <c r="D132" s="32"/>
    </row>
    <row r="133" spans="3:4" x14ac:dyDescent="0.25">
      <c r="C133" s="32"/>
      <c r="D133" s="32"/>
    </row>
    <row r="134" spans="3:4" x14ac:dyDescent="0.25">
      <c r="C134" s="32"/>
      <c r="D134" s="32"/>
    </row>
    <row r="135" spans="3:4" x14ac:dyDescent="0.25">
      <c r="C135" s="32"/>
      <c r="D135" s="32"/>
    </row>
    <row r="136" spans="3:4" x14ac:dyDescent="0.25">
      <c r="C136" s="32"/>
      <c r="D136" s="32"/>
    </row>
    <row r="137" spans="3:4" x14ac:dyDescent="0.25">
      <c r="C137" s="32"/>
      <c r="D137" s="32"/>
    </row>
    <row r="138" spans="3:4" x14ac:dyDescent="0.25">
      <c r="C138" s="32"/>
      <c r="D138" s="32"/>
    </row>
    <row r="139" spans="3:4" x14ac:dyDescent="0.25">
      <c r="C139" s="32"/>
      <c r="D139" s="32"/>
    </row>
    <row r="140" spans="3:4" x14ac:dyDescent="0.25">
      <c r="C140" s="32"/>
      <c r="D140" s="32"/>
    </row>
    <row r="141" spans="3:4" x14ac:dyDescent="0.25">
      <c r="C141" s="32"/>
      <c r="D141" s="32"/>
    </row>
    <row r="142" spans="3:4" x14ac:dyDescent="0.25">
      <c r="C142" s="32"/>
      <c r="D142" s="32"/>
    </row>
    <row r="143" spans="3:4" x14ac:dyDescent="0.25">
      <c r="C143" s="32"/>
      <c r="D143" s="32"/>
    </row>
    <row r="144" spans="3:4" x14ac:dyDescent="0.25">
      <c r="C144" s="32"/>
      <c r="D144" s="32"/>
    </row>
    <row r="145" spans="3:4" x14ac:dyDescent="0.25">
      <c r="C145" s="32"/>
      <c r="D145" s="32"/>
    </row>
    <row r="146" spans="3:4" x14ac:dyDescent="0.25">
      <c r="C146" s="32"/>
      <c r="D146" s="32"/>
    </row>
    <row r="147" spans="3:4" x14ac:dyDescent="0.25">
      <c r="C147" s="32"/>
      <c r="D147" s="32"/>
    </row>
    <row r="148" spans="3:4" x14ac:dyDescent="0.25">
      <c r="C148" s="32"/>
      <c r="D148" s="32"/>
    </row>
    <row r="149" spans="3:4" x14ac:dyDescent="0.25">
      <c r="C149" s="32"/>
      <c r="D149" s="32"/>
    </row>
    <row r="150" spans="3:4" x14ac:dyDescent="0.25">
      <c r="C150" s="32"/>
      <c r="D150" s="32"/>
    </row>
    <row r="151" spans="3:4" x14ac:dyDescent="0.25">
      <c r="C151" s="32"/>
      <c r="D151" s="32"/>
    </row>
    <row r="152" spans="3:4" x14ac:dyDescent="0.25">
      <c r="C152" s="32"/>
      <c r="D152" s="32"/>
    </row>
    <row r="153" spans="3:4" x14ac:dyDescent="0.25">
      <c r="C153" s="32"/>
      <c r="D153" s="32"/>
    </row>
    <row r="154" spans="3:4" x14ac:dyDescent="0.25">
      <c r="C154" s="32"/>
      <c r="D154" s="32"/>
    </row>
    <row r="155" spans="3:4" x14ac:dyDescent="0.25">
      <c r="C155" s="32"/>
      <c r="D155" s="32"/>
    </row>
    <row r="156" spans="3:4" x14ac:dyDescent="0.25">
      <c r="C156" s="32"/>
      <c r="D156" s="32"/>
    </row>
    <row r="157" spans="3:4" x14ac:dyDescent="0.25">
      <c r="C157" s="32"/>
      <c r="D157" s="32"/>
    </row>
    <row r="158" spans="3:4" x14ac:dyDescent="0.25">
      <c r="C158" s="32"/>
      <c r="D158" s="32"/>
    </row>
    <row r="159" spans="3:4" x14ac:dyDescent="0.25">
      <c r="C159" s="32"/>
      <c r="D159" s="32"/>
    </row>
    <row r="160" spans="3:4" x14ac:dyDescent="0.25">
      <c r="C160" s="32"/>
      <c r="D160" s="32"/>
    </row>
    <row r="161" spans="3:4" x14ac:dyDescent="0.25">
      <c r="C161" s="32"/>
      <c r="D161" s="32"/>
    </row>
    <row r="162" spans="3:4" x14ac:dyDescent="0.25">
      <c r="C162" s="32"/>
      <c r="D162" s="32"/>
    </row>
    <row r="163" spans="3:4" x14ac:dyDescent="0.25">
      <c r="C163" s="32"/>
      <c r="D163" s="32"/>
    </row>
    <row r="164" spans="3:4" x14ac:dyDescent="0.25">
      <c r="C164" s="32"/>
      <c r="D164" s="32"/>
    </row>
    <row r="165" spans="3:4" x14ac:dyDescent="0.25">
      <c r="C165" s="32"/>
      <c r="D165" s="32"/>
    </row>
    <row r="166" spans="3:4" x14ac:dyDescent="0.25">
      <c r="C166" s="32"/>
      <c r="D166" s="32"/>
    </row>
    <row r="167" spans="3:4" x14ac:dyDescent="0.25">
      <c r="C167" s="32"/>
      <c r="D167" s="32"/>
    </row>
    <row r="168" spans="3:4" x14ac:dyDescent="0.25">
      <c r="C168" s="32"/>
      <c r="D168" s="32"/>
    </row>
    <row r="169" spans="3:4" x14ac:dyDescent="0.25">
      <c r="C169" s="32"/>
      <c r="D169" s="32"/>
    </row>
    <row r="170" spans="3:4" x14ac:dyDescent="0.25">
      <c r="C170" s="32"/>
      <c r="D170" s="32"/>
    </row>
    <row r="171" spans="3:4" x14ac:dyDescent="0.25">
      <c r="C171" s="32"/>
      <c r="D171" s="32"/>
    </row>
    <row r="172" spans="3:4" x14ac:dyDescent="0.25">
      <c r="C172" s="32"/>
      <c r="D172" s="32"/>
    </row>
    <row r="173" spans="3:4" x14ac:dyDescent="0.25">
      <c r="C173" s="32"/>
      <c r="D173" s="32"/>
    </row>
    <row r="174" spans="3:4" x14ac:dyDescent="0.25">
      <c r="C174" s="32"/>
      <c r="D174" s="32"/>
    </row>
    <row r="175" spans="3:4" x14ac:dyDescent="0.25">
      <c r="C175" s="32"/>
      <c r="D175" s="32"/>
    </row>
    <row r="176" spans="3:4" x14ac:dyDescent="0.25">
      <c r="C176" s="32"/>
      <c r="D176" s="32"/>
    </row>
    <row r="177" spans="3:4" x14ac:dyDescent="0.25">
      <c r="C177" s="32"/>
      <c r="D177" s="32"/>
    </row>
    <row r="178" spans="3:4" x14ac:dyDescent="0.25">
      <c r="C178" s="32"/>
      <c r="D178" s="32"/>
    </row>
    <row r="179" spans="3:4" x14ac:dyDescent="0.25">
      <c r="C179" s="32"/>
      <c r="D179" s="32"/>
    </row>
    <row r="180" spans="3:4" x14ac:dyDescent="0.25">
      <c r="C180" s="32"/>
      <c r="D180" s="32"/>
    </row>
    <row r="181" spans="3:4" x14ac:dyDescent="0.25">
      <c r="C181" s="32"/>
      <c r="D181" s="32"/>
    </row>
    <row r="182" spans="3:4" x14ac:dyDescent="0.25">
      <c r="C182" s="32"/>
      <c r="D182" s="32"/>
    </row>
    <row r="183" spans="3:4" x14ac:dyDescent="0.25">
      <c r="C183" s="32"/>
      <c r="D183" s="32"/>
    </row>
    <row r="184" spans="3:4" x14ac:dyDescent="0.25">
      <c r="C184" s="32"/>
      <c r="D184" s="32"/>
    </row>
    <row r="185" spans="3:4" x14ac:dyDescent="0.25">
      <c r="C185" s="32"/>
      <c r="D185" s="32"/>
    </row>
    <row r="186" spans="3:4" x14ac:dyDescent="0.25">
      <c r="C186" s="32"/>
      <c r="D186" s="32"/>
    </row>
    <row r="187" spans="3:4" x14ac:dyDescent="0.25">
      <c r="C187" s="32"/>
      <c r="D187" s="32"/>
    </row>
    <row r="188" spans="3:4" x14ac:dyDescent="0.25">
      <c r="C188" s="32"/>
      <c r="D188" s="32"/>
    </row>
    <row r="189" spans="3:4" x14ac:dyDescent="0.25">
      <c r="C189" s="32"/>
      <c r="D189" s="32"/>
    </row>
    <row r="190" spans="3:4" x14ac:dyDescent="0.25">
      <c r="C190" s="32"/>
      <c r="D190" s="32"/>
    </row>
    <row r="191" spans="3:4" x14ac:dyDescent="0.25">
      <c r="C191" s="32"/>
      <c r="D191" s="32"/>
    </row>
    <row r="192" spans="3:4" x14ac:dyDescent="0.25">
      <c r="C192" s="32"/>
      <c r="D192" s="32"/>
    </row>
    <row r="193" spans="3:4" x14ac:dyDescent="0.25">
      <c r="C193" s="32"/>
      <c r="D193" s="32"/>
    </row>
    <row r="194" spans="3:4" x14ac:dyDescent="0.25">
      <c r="C194" s="32"/>
      <c r="D194" s="32"/>
    </row>
    <row r="195" spans="3:4" x14ac:dyDescent="0.25">
      <c r="C195" s="32"/>
      <c r="D195" s="32"/>
    </row>
    <row r="196" spans="3:4" x14ac:dyDescent="0.25">
      <c r="C196" s="32"/>
      <c r="D196" s="32"/>
    </row>
    <row r="197" spans="3:4" x14ac:dyDescent="0.25">
      <c r="C197" s="32"/>
      <c r="D197" s="32"/>
    </row>
    <row r="198" spans="3:4" x14ac:dyDescent="0.25">
      <c r="C198" s="32"/>
      <c r="D198" s="32"/>
    </row>
    <row r="199" spans="3:4" x14ac:dyDescent="0.25">
      <c r="C199" s="32"/>
      <c r="D199" s="32"/>
    </row>
    <row r="200" spans="3:4" x14ac:dyDescent="0.25">
      <c r="C200" s="32"/>
      <c r="D200" s="32"/>
    </row>
    <row r="201" spans="3:4" x14ac:dyDescent="0.25">
      <c r="C201" s="32"/>
      <c r="D201" s="32"/>
    </row>
    <row r="202" spans="3:4" x14ac:dyDescent="0.25">
      <c r="C202" s="32"/>
      <c r="D202" s="32"/>
    </row>
    <row r="203" spans="3:4" x14ac:dyDescent="0.25">
      <c r="C203" s="32"/>
      <c r="D203" s="32"/>
    </row>
    <row r="204" spans="3:4" x14ac:dyDescent="0.25">
      <c r="C204" s="32"/>
      <c r="D204" s="32"/>
    </row>
    <row r="205" spans="3:4" x14ac:dyDescent="0.25">
      <c r="C205" s="32"/>
      <c r="D205" s="32"/>
    </row>
    <row r="206" spans="3:4" x14ac:dyDescent="0.25">
      <c r="C206" s="32"/>
      <c r="D206" s="32"/>
    </row>
    <row r="207" spans="3:4" x14ac:dyDescent="0.25">
      <c r="C207" s="32"/>
      <c r="D207" s="32"/>
    </row>
    <row r="208" spans="3:4" x14ac:dyDescent="0.25">
      <c r="C208" s="32"/>
      <c r="D208" s="32"/>
    </row>
    <row r="209" spans="3:4" x14ac:dyDescent="0.25">
      <c r="C209" s="32"/>
      <c r="D209" s="32"/>
    </row>
    <row r="210" spans="3:4" x14ac:dyDescent="0.25">
      <c r="C210" s="32"/>
      <c r="D210" s="32"/>
    </row>
    <row r="211" spans="3:4" x14ac:dyDescent="0.25">
      <c r="C211" s="32"/>
      <c r="D211" s="32"/>
    </row>
    <row r="212" spans="3:4" x14ac:dyDescent="0.25">
      <c r="C212" s="32"/>
      <c r="D212" s="32"/>
    </row>
    <row r="213" spans="3:4" x14ac:dyDescent="0.25">
      <c r="C213" s="32"/>
      <c r="D213" s="32"/>
    </row>
    <row r="214" spans="3:4" x14ac:dyDescent="0.25">
      <c r="C214" s="32"/>
      <c r="D214" s="32"/>
    </row>
    <row r="215" spans="3:4" x14ac:dyDescent="0.25">
      <c r="C215" s="32"/>
      <c r="D215" s="32"/>
    </row>
    <row r="216" spans="3:4" x14ac:dyDescent="0.25">
      <c r="C216" s="32"/>
      <c r="D216" s="32"/>
    </row>
    <row r="217" spans="3:4" x14ac:dyDescent="0.25">
      <c r="C217" s="32"/>
      <c r="D217" s="32"/>
    </row>
    <row r="218" spans="3:4" x14ac:dyDescent="0.25">
      <c r="C218" s="32"/>
      <c r="D218" s="32"/>
    </row>
    <row r="219" spans="3:4" x14ac:dyDescent="0.25">
      <c r="C219" s="32"/>
      <c r="D219" s="32"/>
    </row>
    <row r="220" spans="3:4" x14ac:dyDescent="0.25">
      <c r="C220" s="32"/>
      <c r="D220" s="32"/>
    </row>
    <row r="221" spans="3:4" x14ac:dyDescent="0.25">
      <c r="C221" s="32"/>
      <c r="D221" s="32"/>
    </row>
    <row r="222" spans="3:4" x14ac:dyDescent="0.25">
      <c r="C222" s="32"/>
      <c r="D222" s="32"/>
    </row>
  </sheetData>
  <protectedRanges>
    <protectedRange sqref="F2:G3" name="Aralık1_1_1_1_1"/>
  </protectedRanges>
  <autoFilter ref="A4:Q98" xr:uid="{00000000-0009-0000-0000-000000000000}">
    <filterColumn colId="2" showButton="0"/>
  </autoFilter>
  <mergeCells count="221">
    <mergeCell ref="C10:D10"/>
    <mergeCell ref="C98:D98"/>
    <mergeCell ref="C99:D99"/>
    <mergeCell ref="C102:D102"/>
    <mergeCell ref="C57:D57"/>
    <mergeCell ref="C56:D56"/>
    <mergeCell ref="C66:D66"/>
    <mergeCell ref="C81:D81"/>
    <mergeCell ref="C67:D67"/>
    <mergeCell ref="C68:D68"/>
    <mergeCell ref="C70:D70"/>
    <mergeCell ref="C80:D80"/>
    <mergeCell ref="C85:E85"/>
    <mergeCell ref="C84:E84"/>
    <mergeCell ref="C83:E83"/>
    <mergeCell ref="C61:D61"/>
    <mergeCell ref="C29:D29"/>
    <mergeCell ref="C30:D30"/>
    <mergeCell ref="C31:D31"/>
    <mergeCell ref="C32:D32"/>
    <mergeCell ref="C92:D92"/>
    <mergeCell ref="C5:D5"/>
    <mergeCell ref="C60:D60"/>
    <mergeCell ref="C54:D54"/>
    <mergeCell ref="A1:E1"/>
    <mergeCell ref="A2:E2"/>
    <mergeCell ref="C6:D6"/>
    <mergeCell ref="C7:D7"/>
    <mergeCell ref="C4:D4"/>
    <mergeCell ref="C26:D26"/>
    <mergeCell ref="C27:D27"/>
    <mergeCell ref="C12:D12"/>
    <mergeCell ref="C13:D13"/>
    <mergeCell ref="C14:D14"/>
    <mergeCell ref="C20:D20"/>
    <mergeCell ref="C21:D21"/>
    <mergeCell ref="C22:D22"/>
    <mergeCell ref="C18:D18"/>
    <mergeCell ref="C19:D19"/>
    <mergeCell ref="C25:D25"/>
    <mergeCell ref="C23:D23"/>
    <mergeCell ref="C93:D93"/>
    <mergeCell ref="C94:D94"/>
    <mergeCell ref="C95:D95"/>
    <mergeCell ref="C87:D87"/>
    <mergeCell ref="C88:D88"/>
    <mergeCell ref="C89:D89"/>
    <mergeCell ref="C90:D90"/>
    <mergeCell ref="C91:D91"/>
    <mergeCell ref="C110:D110"/>
    <mergeCell ref="C107:D107"/>
    <mergeCell ref="C113:D113"/>
    <mergeCell ref="C114:D114"/>
    <mergeCell ref="C108:D108"/>
    <mergeCell ref="C106:D106"/>
    <mergeCell ref="C101:D101"/>
    <mergeCell ref="C96:D96"/>
    <mergeCell ref="C97:D97"/>
    <mergeCell ref="C104:D104"/>
    <mergeCell ref="C105:D105"/>
    <mergeCell ref="C100:D100"/>
    <mergeCell ref="C103:D103"/>
    <mergeCell ref="C33:D33"/>
    <mergeCell ref="C34:D34"/>
    <mergeCell ref="C36:D36"/>
    <mergeCell ref="C38:D38"/>
    <mergeCell ref="C35:D35"/>
    <mergeCell ref="C37:D37"/>
    <mergeCell ref="C39:D39"/>
    <mergeCell ref="C43:D43"/>
    <mergeCell ref="C44:D44"/>
    <mergeCell ref="C41:D41"/>
    <mergeCell ref="C42:D42"/>
    <mergeCell ref="C45:D45"/>
    <mergeCell ref="C71:D71"/>
    <mergeCell ref="C72:D72"/>
    <mergeCell ref="C53:D53"/>
    <mergeCell ref="C62:D62"/>
    <mergeCell ref="C63:D63"/>
    <mergeCell ref="C118:D118"/>
    <mergeCell ref="C119:D119"/>
    <mergeCell ref="C111:D111"/>
    <mergeCell ref="C112:D112"/>
    <mergeCell ref="C82:E82"/>
    <mergeCell ref="C59:D59"/>
    <mergeCell ref="C69:D69"/>
    <mergeCell ref="C73:D73"/>
    <mergeCell ref="C79:D79"/>
    <mergeCell ref="C76:D76"/>
    <mergeCell ref="C77:D77"/>
    <mergeCell ref="C78:D78"/>
    <mergeCell ref="C74:D74"/>
    <mergeCell ref="C75:D75"/>
    <mergeCell ref="C115:D115"/>
    <mergeCell ref="C116:D116"/>
    <mergeCell ref="C117:D117"/>
    <mergeCell ref="C109:D109"/>
    <mergeCell ref="C135:D135"/>
    <mergeCell ref="C136:D136"/>
    <mergeCell ref="C137:D137"/>
    <mergeCell ref="C138:D138"/>
    <mergeCell ref="C139:D139"/>
    <mergeCell ref="C130:D130"/>
    <mergeCell ref="C131:D131"/>
    <mergeCell ref="C132:D132"/>
    <mergeCell ref="C133:D133"/>
    <mergeCell ref="C134:D134"/>
    <mergeCell ref="C125:D125"/>
    <mergeCell ref="C126:D126"/>
    <mergeCell ref="C127:D127"/>
    <mergeCell ref="C128:D128"/>
    <mergeCell ref="C129:D129"/>
    <mergeCell ref="C120:D120"/>
    <mergeCell ref="C121:D121"/>
    <mergeCell ref="C122:D122"/>
    <mergeCell ref="C123:D123"/>
    <mergeCell ref="C124:D124"/>
    <mergeCell ref="C145:D145"/>
    <mergeCell ref="C146:D146"/>
    <mergeCell ref="C147:D147"/>
    <mergeCell ref="C148:D148"/>
    <mergeCell ref="C149:D149"/>
    <mergeCell ref="C140:D140"/>
    <mergeCell ref="C141:D141"/>
    <mergeCell ref="C142:D142"/>
    <mergeCell ref="C143:D143"/>
    <mergeCell ref="C144:D144"/>
    <mergeCell ref="C155:D155"/>
    <mergeCell ref="C156:D156"/>
    <mergeCell ref="C157:D157"/>
    <mergeCell ref="C158:D158"/>
    <mergeCell ref="C159:D159"/>
    <mergeCell ref="C150:D150"/>
    <mergeCell ref="C151:D151"/>
    <mergeCell ref="C152:D152"/>
    <mergeCell ref="C153:D153"/>
    <mergeCell ref="C154:D154"/>
    <mergeCell ref="C165:D165"/>
    <mergeCell ref="C166:D166"/>
    <mergeCell ref="C167:D167"/>
    <mergeCell ref="C168:D168"/>
    <mergeCell ref="C169:D169"/>
    <mergeCell ref="C160:D160"/>
    <mergeCell ref="C161:D161"/>
    <mergeCell ref="C162:D162"/>
    <mergeCell ref="C163:D163"/>
    <mergeCell ref="C164:D164"/>
    <mergeCell ref="C175:D175"/>
    <mergeCell ref="C176:D176"/>
    <mergeCell ref="C177:D177"/>
    <mergeCell ref="C178:D178"/>
    <mergeCell ref="C179:D179"/>
    <mergeCell ref="C170:D170"/>
    <mergeCell ref="C171:D171"/>
    <mergeCell ref="C172:D172"/>
    <mergeCell ref="C173:D173"/>
    <mergeCell ref="C174:D174"/>
    <mergeCell ref="C185:D185"/>
    <mergeCell ref="C186:D186"/>
    <mergeCell ref="C187:D187"/>
    <mergeCell ref="C188:D188"/>
    <mergeCell ref="C189:D189"/>
    <mergeCell ref="C180:D180"/>
    <mergeCell ref="C181:D181"/>
    <mergeCell ref="C182:D182"/>
    <mergeCell ref="C183:D183"/>
    <mergeCell ref="C184:D184"/>
    <mergeCell ref="C195:D195"/>
    <mergeCell ref="C196:D196"/>
    <mergeCell ref="C197:D197"/>
    <mergeCell ref="C198:D198"/>
    <mergeCell ref="C199:D199"/>
    <mergeCell ref="C190:D190"/>
    <mergeCell ref="C191:D191"/>
    <mergeCell ref="C192:D192"/>
    <mergeCell ref="C193:D193"/>
    <mergeCell ref="C194:D194"/>
    <mergeCell ref="C205:D205"/>
    <mergeCell ref="C206:D206"/>
    <mergeCell ref="C207:D207"/>
    <mergeCell ref="C208:D208"/>
    <mergeCell ref="C209:D209"/>
    <mergeCell ref="C200:D200"/>
    <mergeCell ref="C201:D201"/>
    <mergeCell ref="C202:D202"/>
    <mergeCell ref="C203:D203"/>
    <mergeCell ref="C204:D204"/>
    <mergeCell ref="C220:D220"/>
    <mergeCell ref="C221:D221"/>
    <mergeCell ref="C222:D222"/>
    <mergeCell ref="C215:D215"/>
    <mergeCell ref="C216:D216"/>
    <mergeCell ref="C217:D217"/>
    <mergeCell ref="C218:D218"/>
    <mergeCell ref="C219:D219"/>
    <mergeCell ref="C210:D210"/>
    <mergeCell ref="C211:D211"/>
    <mergeCell ref="C212:D212"/>
    <mergeCell ref="C213:D213"/>
    <mergeCell ref="C214:D214"/>
    <mergeCell ref="F1:Q1"/>
    <mergeCell ref="C65:D65"/>
    <mergeCell ref="C24:D24"/>
    <mergeCell ref="C49:D49"/>
    <mergeCell ref="C11:D11"/>
    <mergeCell ref="C16:D16"/>
    <mergeCell ref="C17:D17"/>
    <mergeCell ref="C15:D15"/>
    <mergeCell ref="C8:D8"/>
    <mergeCell ref="C9:D9"/>
    <mergeCell ref="C64:D64"/>
    <mergeCell ref="C50:D50"/>
    <mergeCell ref="C51:D51"/>
    <mergeCell ref="C52:D52"/>
    <mergeCell ref="C28:D28"/>
    <mergeCell ref="C46:D46"/>
    <mergeCell ref="C47:D47"/>
    <mergeCell ref="C48:D48"/>
    <mergeCell ref="C55:D55"/>
    <mergeCell ref="C58:D58"/>
    <mergeCell ref="C40:D40"/>
  </mergeCells>
  <conditionalFormatting sqref="F5:Q75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H53"/>
  <sheetViews>
    <sheetView workbookViewId="0">
      <selection activeCell="H20" sqref="H20"/>
    </sheetView>
  </sheetViews>
  <sheetFormatPr defaultRowHeight="15" x14ac:dyDescent="0.25"/>
  <cols>
    <col min="2" max="2" width="38.85546875" bestFit="1" customWidth="1"/>
  </cols>
  <sheetData>
    <row r="3" spans="2:32" ht="30" x14ac:dyDescent="0.25">
      <c r="B3" s="17" t="s">
        <v>26</v>
      </c>
      <c r="C3" s="17" t="s">
        <v>27</v>
      </c>
      <c r="D3" s="17" t="s">
        <v>28</v>
      </c>
      <c r="E3" s="18" t="s">
        <v>29</v>
      </c>
      <c r="F3" s="18" t="s">
        <v>30</v>
      </c>
      <c r="G3" s="18" t="s">
        <v>31</v>
      </c>
      <c r="H3" s="18" t="s">
        <v>32</v>
      </c>
      <c r="I3" s="18" t="s">
        <v>33</v>
      </c>
      <c r="J3" s="19" t="s">
        <v>68</v>
      </c>
    </row>
    <row r="4" spans="2:32" x14ac:dyDescent="0.25">
      <c r="B4" s="19" t="s">
        <v>34</v>
      </c>
      <c r="C4" s="16">
        <v>3</v>
      </c>
      <c r="D4" s="16">
        <v>3</v>
      </c>
      <c r="E4" s="16">
        <v>3</v>
      </c>
      <c r="F4" s="16">
        <v>4</v>
      </c>
      <c r="G4" s="16">
        <v>4</v>
      </c>
      <c r="H4" s="16">
        <v>3</v>
      </c>
      <c r="I4" s="16">
        <v>3</v>
      </c>
      <c r="J4" s="19">
        <f t="shared" ref="J4:J35" si="0">SUM(C4:I4)</f>
        <v>23</v>
      </c>
    </row>
    <row r="5" spans="2:32" x14ac:dyDescent="0.25">
      <c r="B5" s="19" t="s">
        <v>35</v>
      </c>
      <c r="C5" s="16">
        <v>3</v>
      </c>
      <c r="D5" s="16">
        <v>2</v>
      </c>
      <c r="E5" s="16">
        <v>1</v>
      </c>
      <c r="F5" s="16">
        <v>2</v>
      </c>
      <c r="G5" s="16">
        <v>1</v>
      </c>
      <c r="H5" s="16">
        <v>3</v>
      </c>
      <c r="I5" s="16">
        <v>1</v>
      </c>
      <c r="J5" s="19">
        <f t="shared" si="0"/>
        <v>13</v>
      </c>
    </row>
    <row r="6" spans="2:32" x14ac:dyDescent="0.25">
      <c r="B6" s="19" t="s">
        <v>36</v>
      </c>
      <c r="C6" s="16">
        <v>3</v>
      </c>
      <c r="D6" s="16">
        <v>2</v>
      </c>
      <c r="E6" s="16">
        <v>1</v>
      </c>
      <c r="F6" s="16">
        <v>1</v>
      </c>
      <c r="G6" s="16">
        <v>1</v>
      </c>
      <c r="H6" s="16">
        <v>3</v>
      </c>
      <c r="I6" s="16">
        <v>2</v>
      </c>
      <c r="J6" s="19">
        <f t="shared" si="0"/>
        <v>13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2:32" x14ac:dyDescent="0.25">
      <c r="B7" s="19" t="s">
        <v>37</v>
      </c>
      <c r="C7" s="16">
        <v>5</v>
      </c>
      <c r="D7" s="16">
        <v>5</v>
      </c>
      <c r="E7" s="16">
        <v>5</v>
      </c>
      <c r="F7" s="16">
        <v>5</v>
      </c>
      <c r="G7" s="16">
        <v>4</v>
      </c>
      <c r="H7" s="16">
        <v>3</v>
      </c>
      <c r="I7" s="16">
        <v>5</v>
      </c>
      <c r="J7" s="19">
        <f t="shared" si="0"/>
        <v>32</v>
      </c>
    </row>
    <row r="8" spans="2:32" x14ac:dyDescent="0.25">
      <c r="B8" s="19" t="s">
        <v>38</v>
      </c>
      <c r="C8" s="16">
        <v>4</v>
      </c>
      <c r="D8" s="16">
        <v>4</v>
      </c>
      <c r="E8" s="16">
        <v>3</v>
      </c>
      <c r="F8" s="16">
        <v>3</v>
      </c>
      <c r="G8" s="16">
        <v>5</v>
      </c>
      <c r="H8" s="16">
        <v>4</v>
      </c>
      <c r="I8" s="16">
        <v>5</v>
      </c>
      <c r="J8" s="19">
        <f t="shared" si="0"/>
        <v>28</v>
      </c>
    </row>
    <row r="9" spans="2:32" x14ac:dyDescent="0.25">
      <c r="B9" s="19" t="s">
        <v>39</v>
      </c>
      <c r="C9" s="16">
        <v>4</v>
      </c>
      <c r="D9" s="16">
        <v>4</v>
      </c>
      <c r="E9" s="16">
        <v>4</v>
      </c>
      <c r="F9" s="16">
        <v>2</v>
      </c>
      <c r="G9" s="16">
        <v>2</v>
      </c>
      <c r="H9" s="16">
        <v>4</v>
      </c>
      <c r="I9" s="16">
        <v>5</v>
      </c>
      <c r="J9" s="19">
        <f t="shared" si="0"/>
        <v>25</v>
      </c>
    </row>
    <row r="10" spans="2:32" x14ac:dyDescent="0.25">
      <c r="B10" s="19" t="s">
        <v>40</v>
      </c>
      <c r="C10" s="16">
        <v>2</v>
      </c>
      <c r="D10" s="16">
        <v>3</v>
      </c>
      <c r="E10" s="16">
        <v>3</v>
      </c>
      <c r="F10" s="16">
        <v>3</v>
      </c>
      <c r="G10" s="16">
        <v>1</v>
      </c>
      <c r="H10" s="16">
        <v>1</v>
      </c>
      <c r="I10" s="16">
        <v>1</v>
      </c>
      <c r="J10" s="19">
        <f t="shared" si="0"/>
        <v>14</v>
      </c>
      <c r="V10" s="19"/>
    </row>
    <row r="11" spans="2:32" x14ac:dyDescent="0.25">
      <c r="B11" s="19" t="s">
        <v>41</v>
      </c>
      <c r="C11" s="16">
        <v>3</v>
      </c>
      <c r="D11" s="16">
        <v>3</v>
      </c>
      <c r="E11" s="16">
        <v>3</v>
      </c>
      <c r="F11" s="16">
        <v>3</v>
      </c>
      <c r="G11" s="16">
        <v>1</v>
      </c>
      <c r="H11" s="16">
        <v>1</v>
      </c>
      <c r="I11" s="16">
        <v>2</v>
      </c>
      <c r="J11" s="19">
        <f t="shared" si="0"/>
        <v>16</v>
      </c>
    </row>
    <row r="12" spans="2:32" x14ac:dyDescent="0.25">
      <c r="B12" s="19" t="s">
        <v>42</v>
      </c>
      <c r="C12" s="16">
        <v>5</v>
      </c>
      <c r="D12" s="16">
        <v>4</v>
      </c>
      <c r="E12" s="16">
        <v>3</v>
      </c>
      <c r="F12" s="16">
        <v>3</v>
      </c>
      <c r="G12" s="16">
        <v>3</v>
      </c>
      <c r="H12" s="16">
        <v>5</v>
      </c>
      <c r="I12" s="16">
        <v>4</v>
      </c>
      <c r="J12" s="19">
        <f t="shared" si="0"/>
        <v>27</v>
      </c>
    </row>
    <row r="13" spans="2:32" x14ac:dyDescent="0.25">
      <c r="B13" s="19" t="s">
        <v>43</v>
      </c>
      <c r="C13" s="16">
        <v>3</v>
      </c>
      <c r="D13" s="16">
        <v>3</v>
      </c>
      <c r="E13" s="16">
        <v>3</v>
      </c>
      <c r="F13" s="16">
        <v>3</v>
      </c>
      <c r="G13" s="16">
        <v>5</v>
      </c>
      <c r="H13" s="16">
        <v>4</v>
      </c>
      <c r="I13" s="16">
        <v>5</v>
      </c>
      <c r="J13" s="19">
        <f t="shared" si="0"/>
        <v>26</v>
      </c>
    </row>
    <row r="14" spans="2:32" x14ac:dyDescent="0.25">
      <c r="B14" s="19" t="s">
        <v>44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9">
        <f t="shared" si="0"/>
        <v>0</v>
      </c>
    </row>
    <row r="15" spans="2:32" x14ac:dyDescent="0.25">
      <c r="B15" s="19" t="s">
        <v>45</v>
      </c>
      <c r="C15" s="16">
        <v>1</v>
      </c>
      <c r="D15" s="16">
        <v>3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9">
        <f t="shared" si="0"/>
        <v>9</v>
      </c>
    </row>
    <row r="16" spans="2:32" x14ac:dyDescent="0.25">
      <c r="B16" s="19" t="s">
        <v>46</v>
      </c>
      <c r="C16" s="16">
        <v>5</v>
      </c>
      <c r="D16" s="16">
        <v>4</v>
      </c>
      <c r="E16" s="16">
        <v>3</v>
      </c>
      <c r="F16" s="16">
        <v>3</v>
      </c>
      <c r="G16" s="16">
        <v>5</v>
      </c>
      <c r="H16" s="16">
        <v>5</v>
      </c>
      <c r="I16" s="16">
        <v>5</v>
      </c>
      <c r="J16" s="19">
        <f t="shared" si="0"/>
        <v>30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2:34" x14ac:dyDescent="0.25">
      <c r="B17" s="19" t="s">
        <v>47</v>
      </c>
      <c r="C17" s="16">
        <v>4</v>
      </c>
      <c r="D17" s="16">
        <v>5</v>
      </c>
      <c r="E17" s="16">
        <v>5</v>
      </c>
      <c r="F17" s="16">
        <v>3</v>
      </c>
      <c r="G17" s="16">
        <v>3</v>
      </c>
      <c r="H17" s="16">
        <v>3</v>
      </c>
      <c r="I17" s="16">
        <v>3</v>
      </c>
      <c r="J17" s="19">
        <f t="shared" si="0"/>
        <v>26</v>
      </c>
    </row>
    <row r="18" spans="2:34" x14ac:dyDescent="0.25">
      <c r="B18" s="19" t="s">
        <v>48</v>
      </c>
      <c r="C18" s="16">
        <v>4</v>
      </c>
      <c r="D18" s="16">
        <v>4</v>
      </c>
      <c r="E18" s="16">
        <v>3</v>
      </c>
      <c r="F18" s="16">
        <v>3</v>
      </c>
      <c r="G18" s="16">
        <v>3</v>
      </c>
      <c r="H18" s="16">
        <v>4</v>
      </c>
      <c r="I18" s="16">
        <v>5</v>
      </c>
      <c r="J18" s="19">
        <f t="shared" si="0"/>
        <v>26</v>
      </c>
    </row>
    <row r="19" spans="2:34" x14ac:dyDescent="0.25">
      <c r="B19" s="19" t="s">
        <v>49</v>
      </c>
      <c r="C19" s="16">
        <v>3</v>
      </c>
      <c r="D19" s="16">
        <v>3</v>
      </c>
      <c r="E19" s="16">
        <v>3</v>
      </c>
      <c r="F19" s="16">
        <v>3</v>
      </c>
      <c r="G19" s="16">
        <v>3</v>
      </c>
      <c r="H19" s="16">
        <v>3</v>
      </c>
      <c r="I19" s="16">
        <v>3</v>
      </c>
      <c r="J19" s="19">
        <f t="shared" si="0"/>
        <v>21</v>
      </c>
    </row>
    <row r="20" spans="2:34" x14ac:dyDescent="0.25">
      <c r="B20" s="19" t="s">
        <v>50</v>
      </c>
      <c r="C20" s="16">
        <v>5</v>
      </c>
      <c r="D20" s="16">
        <v>4</v>
      </c>
      <c r="E20" s="16">
        <v>5</v>
      </c>
      <c r="F20" s="16">
        <v>5</v>
      </c>
      <c r="G20" s="16">
        <v>5</v>
      </c>
      <c r="H20" s="16">
        <v>5</v>
      </c>
      <c r="I20" s="16">
        <v>5</v>
      </c>
      <c r="J20" s="19">
        <f t="shared" si="0"/>
        <v>34</v>
      </c>
    </row>
    <row r="21" spans="2:34" x14ac:dyDescent="0.25">
      <c r="B21" s="19" t="s">
        <v>20</v>
      </c>
      <c r="C21" s="16">
        <v>3</v>
      </c>
      <c r="D21" s="16">
        <v>3</v>
      </c>
      <c r="E21" s="16">
        <v>3</v>
      </c>
      <c r="F21" s="16">
        <v>4</v>
      </c>
      <c r="G21" s="16">
        <v>4</v>
      </c>
      <c r="H21" s="16">
        <v>3</v>
      </c>
      <c r="I21" s="16">
        <v>3</v>
      </c>
      <c r="J21" s="19">
        <f t="shared" si="0"/>
        <v>23</v>
      </c>
    </row>
    <row r="22" spans="2:34" x14ac:dyDescent="0.25">
      <c r="B22" s="19" t="s">
        <v>19</v>
      </c>
      <c r="C22" s="16">
        <v>3</v>
      </c>
      <c r="D22" s="16">
        <v>2</v>
      </c>
      <c r="E22" s="16">
        <v>3</v>
      </c>
      <c r="F22" s="16">
        <v>2</v>
      </c>
      <c r="G22" s="16">
        <v>4</v>
      </c>
      <c r="H22" s="16">
        <v>3</v>
      </c>
      <c r="I22" s="16">
        <v>4</v>
      </c>
      <c r="J22" s="19">
        <f t="shared" si="0"/>
        <v>21</v>
      </c>
    </row>
    <row r="23" spans="2:34" x14ac:dyDescent="0.25">
      <c r="B23" s="19" t="s">
        <v>9</v>
      </c>
      <c r="C23" s="16">
        <v>3</v>
      </c>
      <c r="D23" s="16">
        <v>2</v>
      </c>
      <c r="E23" s="16">
        <v>1</v>
      </c>
      <c r="F23" s="16">
        <v>2</v>
      </c>
      <c r="G23" s="16">
        <v>1</v>
      </c>
      <c r="H23" s="16">
        <v>3</v>
      </c>
      <c r="I23" s="16">
        <v>1</v>
      </c>
      <c r="J23" s="19">
        <f t="shared" si="0"/>
        <v>13</v>
      </c>
      <c r="AH23">
        <v>27</v>
      </c>
    </row>
    <row r="24" spans="2:34" x14ac:dyDescent="0.25">
      <c r="B24" s="19" t="s">
        <v>51</v>
      </c>
      <c r="C24" s="16">
        <v>3</v>
      </c>
      <c r="D24" s="16">
        <v>2</v>
      </c>
      <c r="E24" s="16">
        <v>1</v>
      </c>
      <c r="F24" s="16">
        <v>1</v>
      </c>
      <c r="G24" s="16">
        <v>1</v>
      </c>
      <c r="H24" s="16">
        <v>3</v>
      </c>
      <c r="I24" s="16">
        <v>2</v>
      </c>
      <c r="J24" s="19">
        <f t="shared" si="0"/>
        <v>13</v>
      </c>
    </row>
    <row r="25" spans="2:34" x14ac:dyDescent="0.25">
      <c r="B25" s="19" t="s">
        <v>12</v>
      </c>
      <c r="C25" s="16">
        <v>5</v>
      </c>
      <c r="D25" s="16">
        <v>4</v>
      </c>
      <c r="E25" s="16">
        <v>5</v>
      </c>
      <c r="F25" s="16">
        <v>5</v>
      </c>
      <c r="G25" s="16">
        <v>4</v>
      </c>
      <c r="H25" s="16">
        <v>4</v>
      </c>
      <c r="I25" s="16">
        <v>5</v>
      </c>
      <c r="J25" s="19">
        <f t="shared" si="0"/>
        <v>32</v>
      </c>
    </row>
    <row r="26" spans="2:34" x14ac:dyDescent="0.25">
      <c r="B26" s="19" t="s">
        <v>13</v>
      </c>
      <c r="C26" s="16">
        <v>4</v>
      </c>
      <c r="D26" s="16">
        <v>4</v>
      </c>
      <c r="E26" s="16">
        <v>4</v>
      </c>
      <c r="F26" s="16">
        <v>2</v>
      </c>
      <c r="G26" s="16">
        <v>2</v>
      </c>
      <c r="H26" s="16">
        <v>4</v>
      </c>
      <c r="I26" s="16">
        <v>5</v>
      </c>
      <c r="J26" s="19">
        <f t="shared" si="0"/>
        <v>25</v>
      </c>
    </row>
    <row r="27" spans="2:34" x14ac:dyDescent="0.25">
      <c r="B27" s="19" t="s">
        <v>14</v>
      </c>
      <c r="C27" s="16">
        <v>2</v>
      </c>
      <c r="D27" s="16">
        <v>3</v>
      </c>
      <c r="E27" s="16">
        <v>2</v>
      </c>
      <c r="F27" s="16">
        <v>3</v>
      </c>
      <c r="G27" s="16">
        <v>1</v>
      </c>
      <c r="H27" s="16">
        <v>1</v>
      </c>
      <c r="I27" s="16">
        <v>1</v>
      </c>
      <c r="J27" s="19">
        <f t="shared" si="0"/>
        <v>13</v>
      </c>
    </row>
    <row r="28" spans="2:34" x14ac:dyDescent="0.25">
      <c r="B28" s="19" t="s">
        <v>15</v>
      </c>
      <c r="C28" s="16">
        <v>4</v>
      </c>
      <c r="D28" s="16">
        <v>3</v>
      </c>
      <c r="E28" s="16">
        <v>5</v>
      </c>
      <c r="F28" s="20">
        <v>3</v>
      </c>
      <c r="G28" s="16">
        <v>4</v>
      </c>
      <c r="H28" s="16">
        <v>5</v>
      </c>
      <c r="I28" s="16">
        <v>5</v>
      </c>
      <c r="J28" s="19">
        <f t="shared" si="0"/>
        <v>29</v>
      </c>
    </row>
    <row r="29" spans="2:34" x14ac:dyDescent="0.25">
      <c r="B29" s="19" t="s">
        <v>18</v>
      </c>
      <c r="C29" s="16">
        <v>5</v>
      </c>
      <c r="D29" s="16">
        <v>4</v>
      </c>
      <c r="E29" s="16">
        <v>3</v>
      </c>
      <c r="F29" s="16">
        <v>3</v>
      </c>
      <c r="G29" s="16">
        <v>3</v>
      </c>
      <c r="H29" s="16">
        <v>5</v>
      </c>
      <c r="I29" s="16">
        <v>4</v>
      </c>
      <c r="J29" s="19">
        <f t="shared" si="0"/>
        <v>27</v>
      </c>
    </row>
    <row r="30" spans="2:34" x14ac:dyDescent="0.25">
      <c r="B30" s="19" t="s">
        <v>10</v>
      </c>
      <c r="C30" s="16">
        <v>3</v>
      </c>
      <c r="D30" s="16">
        <v>2</v>
      </c>
      <c r="E30" s="16">
        <v>3</v>
      </c>
      <c r="F30" s="16">
        <v>2</v>
      </c>
      <c r="G30" s="16">
        <v>5</v>
      </c>
      <c r="H30" s="16">
        <v>4</v>
      </c>
      <c r="I30" s="16">
        <v>5</v>
      </c>
      <c r="J30" s="19">
        <f t="shared" si="0"/>
        <v>24</v>
      </c>
    </row>
    <row r="31" spans="2:34" x14ac:dyDescent="0.25">
      <c r="B31" s="19" t="s">
        <v>52</v>
      </c>
      <c r="C31" s="16">
        <v>3</v>
      </c>
      <c r="D31" s="16">
        <v>3</v>
      </c>
      <c r="E31" s="16">
        <v>3</v>
      </c>
      <c r="F31" s="16">
        <v>3</v>
      </c>
      <c r="G31" s="16">
        <v>5</v>
      </c>
      <c r="H31" s="16">
        <v>4</v>
      </c>
      <c r="I31" s="16">
        <v>5</v>
      </c>
      <c r="J31" s="19">
        <f t="shared" si="0"/>
        <v>26</v>
      </c>
    </row>
    <row r="32" spans="2:34" x14ac:dyDescent="0.25">
      <c r="B32" s="19" t="s">
        <v>53</v>
      </c>
      <c r="C32" s="16">
        <v>5</v>
      </c>
      <c r="D32" s="16">
        <v>3</v>
      </c>
      <c r="E32" s="16">
        <v>3</v>
      </c>
      <c r="F32" s="16">
        <v>3</v>
      </c>
      <c r="G32" s="16">
        <v>5</v>
      </c>
      <c r="H32" s="16">
        <v>5</v>
      </c>
      <c r="I32" s="16">
        <v>5</v>
      </c>
      <c r="J32" s="19">
        <f t="shared" si="0"/>
        <v>29</v>
      </c>
    </row>
    <row r="33" spans="2:10" x14ac:dyDescent="0.25">
      <c r="B33" s="19" t="s">
        <v>22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9">
        <f t="shared" si="0"/>
        <v>0</v>
      </c>
    </row>
    <row r="34" spans="2:10" x14ac:dyDescent="0.25">
      <c r="B34" s="19" t="s">
        <v>54</v>
      </c>
      <c r="C34" s="16">
        <v>1</v>
      </c>
      <c r="D34" s="16">
        <v>3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9">
        <f t="shared" si="0"/>
        <v>9</v>
      </c>
    </row>
    <row r="35" spans="2:10" x14ac:dyDescent="0.25">
      <c r="B35" s="19" t="s">
        <v>8</v>
      </c>
      <c r="C35" s="16">
        <v>5</v>
      </c>
      <c r="D35" s="16">
        <v>4</v>
      </c>
      <c r="E35" s="16">
        <v>3</v>
      </c>
      <c r="F35" s="16">
        <v>3</v>
      </c>
      <c r="G35" s="16">
        <v>5</v>
      </c>
      <c r="H35" s="16">
        <v>5</v>
      </c>
      <c r="I35" s="16">
        <v>5</v>
      </c>
      <c r="J35" s="19">
        <f t="shared" si="0"/>
        <v>30</v>
      </c>
    </row>
    <row r="36" spans="2:10" x14ac:dyDescent="0.25">
      <c r="B36" s="21" t="s">
        <v>11</v>
      </c>
      <c r="C36" s="16">
        <v>3</v>
      </c>
      <c r="D36" s="16">
        <v>4</v>
      </c>
      <c r="E36" s="16">
        <v>3</v>
      </c>
      <c r="F36" s="16">
        <v>3</v>
      </c>
      <c r="G36" s="16">
        <v>4</v>
      </c>
      <c r="H36" s="16">
        <v>3</v>
      </c>
      <c r="I36" s="16">
        <v>5</v>
      </c>
      <c r="J36" s="19">
        <f t="shared" ref="J36:J53" si="1">SUM(C36:I36)</f>
        <v>25</v>
      </c>
    </row>
    <row r="37" spans="2:10" x14ac:dyDescent="0.25">
      <c r="B37" s="21" t="s">
        <v>17</v>
      </c>
      <c r="C37" s="16">
        <v>3</v>
      </c>
      <c r="D37" s="16">
        <v>3</v>
      </c>
      <c r="E37" s="16">
        <v>3</v>
      </c>
      <c r="F37" s="16">
        <v>3</v>
      </c>
      <c r="G37" s="16">
        <v>5</v>
      </c>
      <c r="H37" s="16">
        <v>3</v>
      </c>
      <c r="I37" s="16">
        <v>3</v>
      </c>
      <c r="J37" s="19">
        <f t="shared" si="1"/>
        <v>23</v>
      </c>
    </row>
    <row r="38" spans="2:10" x14ac:dyDescent="0.25">
      <c r="B38" s="21" t="s">
        <v>16</v>
      </c>
      <c r="C38" s="16">
        <v>4</v>
      </c>
      <c r="D38" s="16">
        <v>5</v>
      </c>
      <c r="E38" s="16">
        <v>4</v>
      </c>
      <c r="F38" s="16">
        <v>4</v>
      </c>
      <c r="G38" s="16">
        <v>3</v>
      </c>
      <c r="H38" s="16">
        <v>3</v>
      </c>
      <c r="I38" s="16">
        <v>3</v>
      </c>
      <c r="J38" s="19">
        <f t="shared" si="1"/>
        <v>26</v>
      </c>
    </row>
    <row r="39" spans="2:10" x14ac:dyDescent="0.25">
      <c r="B39" s="19" t="s">
        <v>23</v>
      </c>
      <c r="C39" s="16">
        <v>5</v>
      </c>
      <c r="D39" s="16">
        <v>5</v>
      </c>
      <c r="E39" s="16">
        <v>4</v>
      </c>
      <c r="F39" s="16">
        <v>5</v>
      </c>
      <c r="G39" s="16">
        <v>5</v>
      </c>
      <c r="H39" s="16">
        <v>5</v>
      </c>
      <c r="I39" s="16">
        <v>5</v>
      </c>
      <c r="J39" s="19">
        <f t="shared" si="1"/>
        <v>34</v>
      </c>
    </row>
    <row r="40" spans="2:10" x14ac:dyDescent="0.25">
      <c r="B40" s="19" t="s">
        <v>21</v>
      </c>
      <c r="C40" s="16">
        <v>4</v>
      </c>
      <c r="D40" s="16">
        <v>5</v>
      </c>
      <c r="E40" s="16">
        <v>3</v>
      </c>
      <c r="F40" s="16">
        <v>4</v>
      </c>
      <c r="G40" s="16">
        <v>3</v>
      </c>
      <c r="H40" s="16">
        <v>3</v>
      </c>
      <c r="I40" s="16">
        <v>5</v>
      </c>
      <c r="J40" s="19">
        <f t="shared" si="1"/>
        <v>27</v>
      </c>
    </row>
    <row r="41" spans="2:10" x14ac:dyDescent="0.25">
      <c r="B41" s="19" t="s">
        <v>55</v>
      </c>
      <c r="C41" s="16">
        <v>5</v>
      </c>
      <c r="D41" s="16">
        <v>4</v>
      </c>
      <c r="E41" s="16">
        <v>5</v>
      </c>
      <c r="F41" s="16">
        <v>5</v>
      </c>
      <c r="G41" s="16">
        <v>5</v>
      </c>
      <c r="H41" s="16">
        <v>5</v>
      </c>
      <c r="I41" s="16">
        <v>5</v>
      </c>
      <c r="J41" s="19">
        <f t="shared" si="1"/>
        <v>34</v>
      </c>
    </row>
    <row r="42" spans="2:10" x14ac:dyDescent="0.25">
      <c r="B42" s="19" t="s">
        <v>56</v>
      </c>
      <c r="C42" s="16">
        <v>3</v>
      </c>
      <c r="D42" s="16">
        <v>4</v>
      </c>
      <c r="E42" s="16">
        <v>3</v>
      </c>
      <c r="F42" s="16">
        <v>3</v>
      </c>
      <c r="G42" s="16">
        <v>4</v>
      </c>
      <c r="H42" s="16">
        <v>3</v>
      </c>
      <c r="I42" s="16">
        <v>3</v>
      </c>
      <c r="J42" s="19">
        <f t="shared" si="1"/>
        <v>23</v>
      </c>
    </row>
    <row r="43" spans="2:10" x14ac:dyDescent="0.25">
      <c r="B43" s="19" t="s">
        <v>57</v>
      </c>
      <c r="C43" s="16">
        <v>3</v>
      </c>
      <c r="D43" s="16">
        <v>1</v>
      </c>
      <c r="E43" s="16">
        <v>1</v>
      </c>
      <c r="F43" s="16">
        <v>2</v>
      </c>
      <c r="G43" s="16">
        <v>1</v>
      </c>
      <c r="H43" s="16">
        <v>3</v>
      </c>
      <c r="I43" s="16">
        <v>1</v>
      </c>
      <c r="J43" s="19">
        <f t="shared" si="1"/>
        <v>12</v>
      </c>
    </row>
    <row r="44" spans="2:10" x14ac:dyDescent="0.25">
      <c r="B44" s="19" t="s">
        <v>58</v>
      </c>
      <c r="C44" s="16">
        <v>3</v>
      </c>
      <c r="D44" s="16">
        <v>2</v>
      </c>
      <c r="E44" s="16">
        <v>1</v>
      </c>
      <c r="F44" s="16">
        <v>1</v>
      </c>
      <c r="G44" s="16">
        <v>1</v>
      </c>
      <c r="H44" s="16">
        <v>3</v>
      </c>
      <c r="I44" s="16">
        <v>2</v>
      </c>
      <c r="J44" s="19">
        <f t="shared" si="1"/>
        <v>13</v>
      </c>
    </row>
    <row r="45" spans="2:10" x14ac:dyDescent="0.25">
      <c r="B45" s="19" t="s">
        <v>59</v>
      </c>
      <c r="C45" s="16">
        <v>4</v>
      </c>
      <c r="D45" s="16">
        <v>3</v>
      </c>
      <c r="E45" s="16">
        <v>3</v>
      </c>
      <c r="F45" s="16">
        <v>3</v>
      </c>
      <c r="G45" s="16">
        <v>5</v>
      </c>
      <c r="H45" s="16">
        <v>4</v>
      </c>
      <c r="I45" s="16">
        <v>5</v>
      </c>
      <c r="J45" s="19">
        <f t="shared" si="1"/>
        <v>27</v>
      </c>
    </row>
    <row r="46" spans="2:10" x14ac:dyDescent="0.25">
      <c r="B46" s="19" t="s">
        <v>60</v>
      </c>
      <c r="C46" s="16">
        <v>2</v>
      </c>
      <c r="D46" s="16">
        <v>2</v>
      </c>
      <c r="E46" s="16">
        <v>2</v>
      </c>
      <c r="F46" s="16">
        <v>2</v>
      </c>
      <c r="G46" s="16">
        <v>1</v>
      </c>
      <c r="H46" s="16">
        <v>1</v>
      </c>
      <c r="I46" s="16">
        <v>1</v>
      </c>
      <c r="J46" s="19">
        <f t="shared" si="1"/>
        <v>11</v>
      </c>
    </row>
    <row r="47" spans="2:10" x14ac:dyDescent="0.25">
      <c r="B47" s="19" t="s">
        <v>61</v>
      </c>
      <c r="C47" s="16">
        <v>5</v>
      </c>
      <c r="D47" s="16">
        <v>4</v>
      </c>
      <c r="E47" s="16">
        <v>3</v>
      </c>
      <c r="F47" s="16">
        <v>2</v>
      </c>
      <c r="G47" s="16">
        <v>4</v>
      </c>
      <c r="H47" s="16">
        <v>5</v>
      </c>
      <c r="I47" s="16">
        <v>4</v>
      </c>
      <c r="J47" s="19">
        <f t="shared" si="1"/>
        <v>27</v>
      </c>
    </row>
    <row r="48" spans="2:10" x14ac:dyDescent="0.25">
      <c r="B48" s="21" t="s">
        <v>62</v>
      </c>
      <c r="C48" s="16">
        <v>3</v>
      </c>
      <c r="D48" s="16">
        <v>4</v>
      </c>
      <c r="E48" s="16">
        <v>3</v>
      </c>
      <c r="F48" s="16">
        <v>3</v>
      </c>
      <c r="G48" s="16">
        <v>3</v>
      </c>
      <c r="H48" s="16">
        <v>4</v>
      </c>
      <c r="I48" s="16">
        <v>3</v>
      </c>
      <c r="J48" s="19">
        <f t="shared" si="1"/>
        <v>23</v>
      </c>
    </row>
    <row r="49" spans="2:10" x14ac:dyDescent="0.25">
      <c r="B49" s="19" t="s">
        <v>63</v>
      </c>
      <c r="C49" s="16">
        <v>5</v>
      </c>
      <c r="D49" s="16">
        <v>3</v>
      </c>
      <c r="E49" s="16">
        <v>3</v>
      </c>
      <c r="F49" s="16">
        <v>3</v>
      </c>
      <c r="G49" s="16">
        <v>5</v>
      </c>
      <c r="H49" s="16">
        <v>5</v>
      </c>
      <c r="I49" s="16">
        <v>5</v>
      </c>
      <c r="J49" s="19">
        <f t="shared" si="1"/>
        <v>29</v>
      </c>
    </row>
    <row r="50" spans="2:10" x14ac:dyDescent="0.25">
      <c r="B50" s="19" t="s">
        <v>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9">
        <f t="shared" si="1"/>
        <v>0</v>
      </c>
    </row>
    <row r="51" spans="2:10" x14ac:dyDescent="0.25">
      <c r="B51" s="19" t="s">
        <v>65</v>
      </c>
      <c r="C51" s="16">
        <v>1</v>
      </c>
      <c r="D51" s="16">
        <v>3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9">
        <f t="shared" si="1"/>
        <v>9</v>
      </c>
    </row>
    <row r="52" spans="2:10" x14ac:dyDescent="0.25">
      <c r="B52" s="21" t="s">
        <v>66</v>
      </c>
      <c r="C52" s="16">
        <v>3</v>
      </c>
      <c r="D52" s="16">
        <v>3</v>
      </c>
      <c r="E52" s="16">
        <v>3</v>
      </c>
      <c r="F52" s="16">
        <v>2</v>
      </c>
      <c r="G52" s="16">
        <v>4</v>
      </c>
      <c r="H52" s="16">
        <v>3</v>
      </c>
      <c r="I52" s="16">
        <v>3</v>
      </c>
      <c r="J52" s="19">
        <f t="shared" si="1"/>
        <v>21</v>
      </c>
    </row>
    <row r="53" spans="2:10" x14ac:dyDescent="0.25">
      <c r="B53" s="19" t="s">
        <v>67</v>
      </c>
      <c r="C53" s="16">
        <v>5</v>
      </c>
      <c r="D53" s="16">
        <v>4</v>
      </c>
      <c r="E53" s="16">
        <v>4</v>
      </c>
      <c r="F53" s="16">
        <v>5</v>
      </c>
      <c r="G53" s="16">
        <v>5</v>
      </c>
      <c r="H53" s="16">
        <v>5</v>
      </c>
      <c r="I53" s="16">
        <v>5</v>
      </c>
      <c r="J53" s="19">
        <f t="shared" si="1"/>
        <v>33</v>
      </c>
    </row>
  </sheetData>
  <autoFilter ref="B3:J53" xr:uid="{00000000-0009-0000-0000-000001000000}">
    <sortState xmlns:xlrd2="http://schemas.microsoft.com/office/spreadsheetml/2017/richdata2" ref="B4:M53">
      <sortCondition ref="B3:B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Polivalans Tablosu</vt:lpstr>
      <vt:lpstr>Makine Bazlı Değer Matrisi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Seçil IŞITAN</dc:creator>
  <cp:keywords/>
  <dc:description/>
  <cp:lastModifiedBy>Yusuf Aykut Bayram</cp:lastModifiedBy>
  <dcterms:created xsi:type="dcterms:W3CDTF">2020-11-17T14:05:49Z</dcterms:created>
  <dcterms:modified xsi:type="dcterms:W3CDTF">2026-04-27T18:17:28Z</dcterms:modified>
  <cp:category/>
</cp:coreProperties>
</file>