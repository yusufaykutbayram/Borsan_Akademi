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sufbayram\Desktop\"/>
    </mc:Choice>
  </mc:AlternateContent>
  <xr:revisionPtr revIDLastSave="0" documentId="13_ncr:1_{301ED9B4-16FF-4300-B753-8EEA80853445}" xr6:coauthVersionLast="47" xr6:coauthVersionMax="47" xr10:uidLastSave="{00000000-0000-0000-0000-000000000000}"/>
  <bookViews>
    <workbookView xWindow="-120" yWindow="-120" windowWidth="29040" windowHeight="17520" xr2:uid="{FB8362AA-C759-4A8E-8623-612E5B2B6574}"/>
  </bookViews>
  <sheets>
    <sheet name="ANASAYFA" sheetId="2" r:id="rId1"/>
    <sheet name="Sayf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50" i="2" l="1"/>
  <c r="Q49" i="2"/>
  <c r="Q48" i="2"/>
  <c r="Q47" i="2"/>
  <c r="Q46" i="2"/>
  <c r="Q39" i="2"/>
  <c r="Q38" i="2"/>
  <c r="Q37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sharedStrings.xml><?xml version="1.0" encoding="utf-8"?>
<sst xmlns="http://schemas.openxmlformats.org/spreadsheetml/2006/main" count="533" uniqueCount="135">
  <si>
    <t>UMUTCAN BAŞ</t>
  </si>
  <si>
    <t>ZA İZOLASYON</t>
  </si>
  <si>
    <t>2 Yil 5 Ay 23 Gün</t>
  </si>
  <si>
    <t>ZAYIF AKIM İŞLETME MÜDÜRLÜĞÜ</t>
  </si>
  <si>
    <t>ZA İZOLASYON LİDER</t>
  </si>
  <si>
    <t>OSMAN KAPUCU</t>
  </si>
  <si>
    <t>ZA GERİ DÖNÜŞÜM ELEMANI</t>
  </si>
  <si>
    <t>7 Yil 5 Ay 2 Gün</t>
  </si>
  <si>
    <t>MURAT KESKİN</t>
  </si>
  <si>
    <t>ZA VARDİYA AMİRİ</t>
  </si>
  <si>
    <t>KARDELEN FİDAN</t>
  </si>
  <si>
    <t>ZA AKTARMA</t>
  </si>
  <si>
    <t>0 Yil 8 Ay 4 Gün</t>
  </si>
  <si>
    <t>ZA OPERATÖR YARDIMCISI</t>
  </si>
  <si>
    <t>BİRKAN YARAR</t>
  </si>
  <si>
    <t>ZA DRUM BÜKÜM</t>
  </si>
  <si>
    <t>3 Yil 4 Ay 25 Gün</t>
  </si>
  <si>
    <t>ZA DAMAR BÜKÜM LİDER</t>
  </si>
  <si>
    <t>HAKAN AKSOY</t>
  </si>
  <si>
    <t>MURAT ÖZDEMİR</t>
  </si>
  <si>
    <t>4 Yil 0 Ay 14 Gün</t>
  </si>
  <si>
    <t>ARZU BORA</t>
  </si>
  <si>
    <t>ZA ÖRGÜ</t>
  </si>
  <si>
    <t>5 Yil 1 Ay 14 Gün</t>
  </si>
  <si>
    <t>ZA ÖRGÜ LİDER</t>
  </si>
  <si>
    <t>METİN ÇETİN</t>
  </si>
  <si>
    <t>ZA KILIF</t>
  </si>
  <si>
    <t>ZA KILIF OPERATÖR</t>
  </si>
  <si>
    <t>MEHMET DEMİR</t>
  </si>
  <si>
    <t>ZA İZOLE BÜKÜM</t>
  </si>
  <si>
    <t>6 Yil 1 Ay 13 Gün</t>
  </si>
  <si>
    <t>ZA DAMAR BÜKÜM OPERATÖR</t>
  </si>
  <si>
    <t>3 Yil 6 Ay 5 Gün</t>
  </si>
  <si>
    <t>ZA PAKETLEME OPERATÖR</t>
  </si>
  <si>
    <t>AKTARMA 1</t>
  </si>
  <si>
    <t>SÜLEYMAN BEŞER KARA</t>
  </si>
  <si>
    <t>ZA ARADEPO GÖREVLİSİ</t>
  </si>
  <si>
    <t>MURAT KAHVECİ</t>
  </si>
  <si>
    <t>GİZEMSENA KESKİN KABADAYI</t>
  </si>
  <si>
    <t>3 Yil 8 Ay 14 Gün</t>
  </si>
  <si>
    <t>HAKAN SOLMAZ</t>
  </si>
  <si>
    <t>ZA İZOLASYON OPERATÖR</t>
  </si>
  <si>
    <t>ZA PAKETLEME LİDER</t>
  </si>
  <si>
    <t>ESER TUNÇYÜREK</t>
  </si>
  <si>
    <t>8 Yil 4 Ay 4 Gün</t>
  </si>
  <si>
    <t>ZA KILIF LİDER</t>
  </si>
  <si>
    <t>ŞENOL KÖSE</t>
  </si>
  <si>
    <t>10 Yil 9 Ay 1 Gün</t>
  </si>
  <si>
    <t>SEDANUR KARKUCAK</t>
  </si>
  <si>
    <t>ZA ÖRGÜ OPERATÖR</t>
  </si>
  <si>
    <t>OSMAN ŞENYER</t>
  </si>
  <si>
    <t>3 Yil 3 Ay 25 Gün</t>
  </si>
  <si>
    <t>ÜMİT TEMİZ</t>
  </si>
  <si>
    <t>SEZER DONBAY</t>
  </si>
  <si>
    <t>4 Yil 11 Ay 14 Gün</t>
  </si>
  <si>
    <t>CENGİZ ÇETİN</t>
  </si>
  <si>
    <t>7 Yil 5 Ay 27 Gün</t>
  </si>
  <si>
    <t>ALİHAN DEMİRTAŞ</t>
  </si>
  <si>
    <t>ZA ARA DEPO SORUMLUSU</t>
  </si>
  <si>
    <t>1 Yil 7 Ay 18 Gün</t>
  </si>
  <si>
    <t>0 Yil 2 Ay 13 Gün</t>
  </si>
  <si>
    <t>MUSA ÇOBANOĞLU</t>
  </si>
  <si>
    <t>0 Yil 1 Ay 23 Gün</t>
  </si>
  <si>
    <t>0 Yil 5 Ay 12 Gün</t>
  </si>
  <si>
    <t>ZA KORDON AKTARMA</t>
  </si>
  <si>
    <t>0 Yil 4 Ay 14 Gün</t>
  </si>
  <si>
    <t>EMİRCAN KESKİN</t>
  </si>
  <si>
    <t>ZA BÜKÜM</t>
  </si>
  <si>
    <t>HAKAN ÖZTÜRK</t>
  </si>
  <si>
    <t>ZA AKTARNA</t>
  </si>
  <si>
    <t>1 Yil 4 Ay 11 Gün</t>
  </si>
  <si>
    <t>EDANUR ÇAKMAK</t>
  </si>
  <si>
    <t>1 Yil 0 Ay 5 Gün</t>
  </si>
  <si>
    <t>MELEK UZUN</t>
  </si>
  <si>
    <t>0 Yil 1 Ay 6 Gün</t>
  </si>
  <si>
    <t>MEHMET BEKDEMİR</t>
  </si>
  <si>
    <t>1 Yil 3 Ay 0 Gün</t>
  </si>
  <si>
    <t>HATİCE MUTLUYIL</t>
  </si>
  <si>
    <t>YUSUF İHSAN AKÇA</t>
  </si>
  <si>
    <t>SEBAHAT BOZDAĞ</t>
  </si>
  <si>
    <t>0 Yil 0 Ay 2 Gün</t>
  </si>
  <si>
    <t>EREN HÜNERLİ</t>
  </si>
  <si>
    <t>BEKİR FURKAN HASANOĞLU</t>
  </si>
  <si>
    <t>0 Yil 2 Ay 27 Gün</t>
  </si>
  <si>
    <t>ESRA BALKI</t>
  </si>
  <si>
    <t>0 Yil 10 Ay 25 Gün</t>
  </si>
  <si>
    <t>BATUHAN YAMAN</t>
  </si>
  <si>
    <t>HATİCE KÖSE</t>
  </si>
  <si>
    <t>0 Yil 0 Ay 30 Gün</t>
  </si>
  <si>
    <t>EMİNE KARAKUŞ</t>
  </si>
  <si>
    <t>0 Yil 3 Ay 24 Gün</t>
  </si>
  <si>
    <t>FURKAN TEKİN</t>
  </si>
  <si>
    <t>ESRA YASAN</t>
  </si>
  <si>
    <t>ZA EKİPMAN SORUMLUSU</t>
  </si>
  <si>
    <t>ZA APARAT GÖREVLİSİ</t>
  </si>
  <si>
    <t>ELANUR YILMAZ</t>
  </si>
  <si>
    <t>UMUT KERİMAN</t>
  </si>
  <si>
    <t>NURAY UZUN</t>
  </si>
  <si>
    <t>0 Yil 4 Ay 22 Gün</t>
  </si>
  <si>
    <t>SEVDENUR GÜLAL</t>
  </si>
  <si>
    <t>MERT DOMDOMOĞULLARI</t>
  </si>
  <si>
    <t>GÜLCAN GÜLER</t>
  </si>
  <si>
    <t>1 Yil 6 Ay 1 Gün</t>
  </si>
  <si>
    <t>SİNEM YILDIZ</t>
  </si>
  <si>
    <t>ZA ORTACI</t>
  </si>
  <si>
    <t>0 Yil 10 Ay 18 Gün</t>
  </si>
  <si>
    <t>MURAT EKİCİ</t>
  </si>
  <si>
    <t>ZEYNEP PATAN</t>
  </si>
  <si>
    <t xml:space="preserve">SİCİL NO </t>
  </si>
  <si>
    <t xml:space="preserve">AD SOYAD </t>
  </si>
  <si>
    <t xml:space="preserve">ÇALIŞTIĞI HAT </t>
  </si>
  <si>
    <t>İSTİHDAM TARİHİ</t>
  </si>
  <si>
    <t xml:space="preserve">ÇALIŞMA SÜRESİ </t>
  </si>
  <si>
    <t xml:space="preserve">POZİSYON </t>
  </si>
  <si>
    <t>Genel 
Toplam 
Puan</t>
  </si>
  <si>
    <t>PERFORMANS KATEGORSİ</t>
  </si>
  <si>
    <t>Hat performansı 
sonuçları</t>
  </si>
  <si>
    <t>Fireler
(Mühendislik fireleri 
dışında oluşan hurdalar)</t>
  </si>
  <si>
    <t>Kalite odaklı yaklaşım
(Sıfır hatalı üretim yapmak)</t>
  </si>
  <si>
    <t>Devamlılık</t>
  </si>
  <si>
    <t>Tutanaklar</t>
  </si>
  <si>
    <t>Mola Süresine Uyum</t>
  </si>
  <si>
    <t>İlişki Yönetimi</t>
  </si>
  <si>
    <t xml:space="preserve">Fazla Mesaiye katılım </t>
  </si>
  <si>
    <t>Hattının 5S puanı</t>
  </si>
  <si>
    <t>A</t>
  </si>
  <si>
    <t>C</t>
  </si>
  <si>
    <t>B</t>
  </si>
  <si>
    <t>D</t>
  </si>
  <si>
    <t>7 Yıl 2 Ay 9 Gün</t>
  </si>
  <si>
    <t>5 Yıl 0 Ay 26 Gün</t>
  </si>
  <si>
    <t>9 Yıl 8 Ay 23 Gün</t>
  </si>
  <si>
    <t>3 Yıl 0 Ay 24 Gün</t>
  </si>
  <si>
    <t>3 Yıl 5 Ay 23 Gün</t>
  </si>
  <si>
    <t>FABRİKA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</si>
</sst>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9"/>
      <color theme="1"/>
      <name val="Arial"/>
      <family val="2"/>
      <charset val="162"/>
    </font>
    <font>
      <b/>
      <sz val="9"/>
      <color theme="1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14" fontId="0" fillId="3" borderId="0" xfId="0" applyNumberFormat="1" applyFill="1"/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" fontId="1" fillId="4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2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0" fillId="0" borderId="1" xfId="0" applyFill="1" applyBorder="1"/>
    <xf numFmtId="14" fontId="0" fillId="0" borderId="1" xfId="0" applyNumberFormat="1" applyFill="1" applyBorder="1"/>
    <xf numFmtId="2" fontId="0" fillId="0" borderId="1" xfId="0" applyNumberFormat="1" applyFill="1" applyBorder="1"/>
    <xf numFmtId="14" fontId="0" fillId="0" borderId="0" xfId="0" applyNumberFormat="1" applyFill="1"/>
    <xf numFmtId="9" fontId="2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A0AF-D681-4B29-817C-D2CD625AF87F}">
  <dimension ref="A1:V50"/>
  <sheetViews>
    <sheetView tabSelected="1" topLeftCell="G1" zoomScale="70" zoomScaleNormal="70" workbookViewId="0">
      <selection activeCell="O1" sqref="O1"/>
    </sheetView>
  </sheetViews>
  <sheetFormatPr defaultColWidth="16.28515625" defaultRowHeight="12" x14ac:dyDescent="0.25"/>
  <cols>
    <col min="1" max="1" width="8.42578125" style="2" customWidth="1"/>
    <col min="2" max="2" width="32" style="2" bestFit="1" customWidth="1"/>
    <col min="3" max="4" width="26.7109375" style="2" customWidth="1"/>
    <col min="5" max="5" width="19.42578125" style="2" customWidth="1"/>
    <col min="6" max="6" width="40" style="2" customWidth="1"/>
    <col min="7" max="7" width="40.28515625" style="2" customWidth="1"/>
    <col min="8" max="8" width="18.7109375" style="2" customWidth="1"/>
    <col min="9" max="9" width="26.28515625" style="2" customWidth="1"/>
    <col min="10" max="10" width="31.140625" style="2" customWidth="1"/>
    <col min="11" max="12" width="18.42578125" style="2" customWidth="1"/>
    <col min="13" max="13" width="26.5703125" style="2" customWidth="1"/>
    <col min="14" max="14" width="18.7109375" style="2" customWidth="1"/>
    <col min="15" max="15" width="32.85546875" style="2" customWidth="1"/>
    <col min="16" max="16" width="19.7109375" style="2" customWidth="1"/>
    <col min="17" max="17" width="14" style="27" customWidth="1"/>
    <col min="18" max="18" width="15.5703125" style="2" bestFit="1" customWidth="1"/>
    <col min="19" max="16384" width="16.28515625" style="1"/>
  </cols>
  <sheetData>
    <row r="1" spans="1:18" s="2" customFormat="1" ht="31.9" customHeight="1" x14ac:dyDescent="0.25">
      <c r="A1" s="3"/>
      <c r="B1" s="3"/>
      <c r="C1" s="3"/>
      <c r="D1" s="6"/>
      <c r="E1" s="5"/>
      <c r="F1" s="5"/>
      <c r="G1" s="5"/>
      <c r="H1" s="7" t="s">
        <v>116</v>
      </c>
      <c r="I1" s="7" t="s">
        <v>117</v>
      </c>
      <c r="J1" s="7" t="s">
        <v>118</v>
      </c>
      <c r="K1" s="7" t="s">
        <v>119</v>
      </c>
      <c r="L1" s="7" t="s">
        <v>120</v>
      </c>
      <c r="M1" s="7" t="s">
        <v>121</v>
      </c>
      <c r="N1" s="7" t="s">
        <v>122</v>
      </c>
      <c r="O1" s="7" t="s">
        <v>123</v>
      </c>
      <c r="P1" s="7" t="s">
        <v>124</v>
      </c>
      <c r="Q1" s="33" t="s">
        <v>114</v>
      </c>
      <c r="R1" s="32" t="s">
        <v>115</v>
      </c>
    </row>
    <row r="2" spans="1:18" s="2" customFormat="1" ht="29.45" customHeight="1" x14ac:dyDescent="0.25">
      <c r="A2" s="3"/>
      <c r="B2" s="3"/>
      <c r="C2" s="3"/>
      <c r="D2" s="8"/>
      <c r="E2" s="5"/>
      <c r="F2" s="5"/>
      <c r="G2" s="5"/>
      <c r="H2" s="9">
        <v>0.25</v>
      </c>
      <c r="I2" s="9">
        <v>0.15</v>
      </c>
      <c r="J2" s="9">
        <v>0.1</v>
      </c>
      <c r="K2" s="10">
        <v>0.1</v>
      </c>
      <c r="L2" s="9">
        <v>0.1</v>
      </c>
      <c r="M2" s="10">
        <v>0.05</v>
      </c>
      <c r="N2" s="9">
        <v>0.05</v>
      </c>
      <c r="O2" s="9">
        <v>0.1</v>
      </c>
      <c r="P2" s="9">
        <v>0.1</v>
      </c>
      <c r="Q2" s="9">
        <f t="shared" ref="Q2:Q50" si="0">SUM(H2:P2)</f>
        <v>1</v>
      </c>
      <c r="R2" s="11"/>
    </row>
    <row r="3" spans="1:18" ht="30.6" customHeight="1" x14ac:dyDescent="0.25">
      <c r="A3" s="12">
        <v>8196</v>
      </c>
      <c r="B3" s="13" t="s">
        <v>106</v>
      </c>
      <c r="C3" s="13" t="s">
        <v>26</v>
      </c>
      <c r="D3" s="14">
        <v>46055</v>
      </c>
      <c r="E3" s="13" t="s">
        <v>60</v>
      </c>
      <c r="F3" s="13" t="s">
        <v>3</v>
      </c>
      <c r="G3" s="13" t="s">
        <v>45</v>
      </c>
      <c r="H3" s="15">
        <v>25</v>
      </c>
      <c r="I3" s="15">
        <v>12</v>
      </c>
      <c r="J3" s="16">
        <v>10</v>
      </c>
      <c r="K3" s="15">
        <v>10</v>
      </c>
      <c r="L3" s="16">
        <v>10</v>
      </c>
      <c r="M3" s="16">
        <v>5</v>
      </c>
      <c r="N3" s="15">
        <v>5</v>
      </c>
      <c r="O3" s="16">
        <v>10</v>
      </c>
      <c r="P3" s="17">
        <v>3.7</v>
      </c>
      <c r="Q3" s="18">
        <f t="shared" si="0"/>
        <v>90.7</v>
      </c>
      <c r="R3" s="19" t="s">
        <v>125</v>
      </c>
    </row>
    <row r="4" spans="1:18" ht="30.6" customHeight="1" x14ac:dyDescent="0.25">
      <c r="A4" s="12">
        <v>5088</v>
      </c>
      <c r="B4" s="20" t="s">
        <v>5</v>
      </c>
      <c r="C4" s="20" t="s">
        <v>6</v>
      </c>
      <c r="D4" s="21">
        <v>43417</v>
      </c>
      <c r="E4" s="20" t="s">
        <v>7</v>
      </c>
      <c r="F4" s="20" t="s">
        <v>3</v>
      </c>
      <c r="G4" s="20" t="s">
        <v>6</v>
      </c>
      <c r="H4" s="15">
        <v>11</v>
      </c>
      <c r="I4" s="15">
        <v>10</v>
      </c>
      <c r="J4" s="22">
        <v>10</v>
      </c>
      <c r="K4" s="15">
        <v>10</v>
      </c>
      <c r="L4" s="22">
        <v>10</v>
      </c>
      <c r="M4" s="15">
        <v>5</v>
      </c>
      <c r="N4" s="15">
        <v>5</v>
      </c>
      <c r="O4" s="23">
        <v>10</v>
      </c>
      <c r="P4" s="24">
        <v>4.4000000000000004</v>
      </c>
      <c r="Q4" s="18">
        <f t="shared" si="0"/>
        <v>75.400000000000006</v>
      </c>
      <c r="R4" s="19" t="s">
        <v>126</v>
      </c>
    </row>
    <row r="5" spans="1:18" ht="30.6" customHeight="1" x14ac:dyDescent="0.25">
      <c r="A5" s="12">
        <v>4625</v>
      </c>
      <c r="B5" s="20" t="s">
        <v>43</v>
      </c>
      <c r="C5" s="20" t="s">
        <v>26</v>
      </c>
      <c r="D5" s="21">
        <v>43080</v>
      </c>
      <c r="E5" s="20" t="s">
        <v>44</v>
      </c>
      <c r="F5" s="20" t="s">
        <v>3</v>
      </c>
      <c r="G5" s="20" t="s">
        <v>45</v>
      </c>
      <c r="H5" s="15">
        <v>25</v>
      </c>
      <c r="I5" s="15">
        <v>12</v>
      </c>
      <c r="J5" s="22">
        <v>10</v>
      </c>
      <c r="K5" s="15">
        <v>10</v>
      </c>
      <c r="L5" s="22">
        <v>10</v>
      </c>
      <c r="M5" s="15">
        <v>5</v>
      </c>
      <c r="N5" s="15">
        <v>5</v>
      </c>
      <c r="O5" s="23">
        <v>10</v>
      </c>
      <c r="P5" s="24">
        <v>3.7</v>
      </c>
      <c r="Q5" s="18">
        <f t="shared" si="0"/>
        <v>90.7</v>
      </c>
      <c r="R5" s="19" t="s">
        <v>125</v>
      </c>
    </row>
    <row r="6" spans="1:18" ht="30.6" customHeight="1" x14ac:dyDescent="0.25">
      <c r="A6" s="12">
        <v>7356</v>
      </c>
      <c r="B6" s="20" t="s">
        <v>57</v>
      </c>
      <c r="C6" s="20" t="s">
        <v>58</v>
      </c>
      <c r="D6" s="21">
        <v>45532</v>
      </c>
      <c r="E6" s="20" t="s">
        <v>59</v>
      </c>
      <c r="F6" s="20" t="s">
        <v>3</v>
      </c>
      <c r="G6" s="20" t="s">
        <v>36</v>
      </c>
      <c r="H6" s="15">
        <v>20</v>
      </c>
      <c r="I6" s="15">
        <v>10</v>
      </c>
      <c r="J6" s="22">
        <v>10</v>
      </c>
      <c r="K6" s="15">
        <v>10</v>
      </c>
      <c r="L6" s="22">
        <v>10</v>
      </c>
      <c r="M6" s="15">
        <v>5</v>
      </c>
      <c r="N6" s="15">
        <v>5</v>
      </c>
      <c r="O6" s="23">
        <v>10</v>
      </c>
      <c r="P6" s="24">
        <v>3.15</v>
      </c>
      <c r="Q6" s="18">
        <f t="shared" si="0"/>
        <v>83.15</v>
      </c>
      <c r="R6" s="19" t="s">
        <v>127</v>
      </c>
    </row>
    <row r="7" spans="1:18" ht="30.6" customHeight="1" x14ac:dyDescent="0.25">
      <c r="A7" s="12">
        <v>7661</v>
      </c>
      <c r="B7" s="20" t="s">
        <v>77</v>
      </c>
      <c r="C7" s="20" t="s">
        <v>22</v>
      </c>
      <c r="D7" s="21">
        <v>45757</v>
      </c>
      <c r="E7" s="20" t="s">
        <v>72</v>
      </c>
      <c r="F7" s="20" t="s">
        <v>3</v>
      </c>
      <c r="G7" s="20" t="s">
        <v>49</v>
      </c>
      <c r="H7" s="15">
        <v>20</v>
      </c>
      <c r="I7" s="15">
        <v>10</v>
      </c>
      <c r="J7" s="22">
        <v>10</v>
      </c>
      <c r="K7" s="15">
        <v>9</v>
      </c>
      <c r="L7" s="22">
        <v>10</v>
      </c>
      <c r="M7" s="15">
        <v>5</v>
      </c>
      <c r="N7" s="15">
        <v>5</v>
      </c>
      <c r="O7" s="23">
        <v>10</v>
      </c>
      <c r="P7" s="24">
        <v>3.95</v>
      </c>
      <c r="Q7" s="18">
        <f t="shared" si="0"/>
        <v>82.95</v>
      </c>
      <c r="R7" s="19" t="s">
        <v>127</v>
      </c>
    </row>
    <row r="8" spans="1:18" ht="30.6" customHeight="1" x14ac:dyDescent="0.25">
      <c r="A8" s="12">
        <v>5066</v>
      </c>
      <c r="B8" s="20" t="s">
        <v>55</v>
      </c>
      <c r="C8" s="20" t="s">
        <v>26</v>
      </c>
      <c r="D8" s="21">
        <v>43392</v>
      </c>
      <c r="E8" s="20" t="s">
        <v>56</v>
      </c>
      <c r="F8" s="20" t="s">
        <v>3</v>
      </c>
      <c r="G8" s="20" t="s">
        <v>45</v>
      </c>
      <c r="H8" s="15">
        <v>25</v>
      </c>
      <c r="I8" s="15">
        <v>14</v>
      </c>
      <c r="J8" s="22">
        <v>8</v>
      </c>
      <c r="K8" s="15">
        <v>10</v>
      </c>
      <c r="L8" s="22">
        <v>10</v>
      </c>
      <c r="M8" s="15">
        <v>5</v>
      </c>
      <c r="N8" s="15">
        <v>5</v>
      </c>
      <c r="O8" s="23">
        <v>10</v>
      </c>
      <c r="P8" s="24">
        <v>3.7</v>
      </c>
      <c r="Q8" s="18">
        <f t="shared" si="0"/>
        <v>90.7</v>
      </c>
      <c r="R8" s="19" t="s">
        <v>125</v>
      </c>
    </row>
    <row r="9" spans="1:18" ht="30.6" customHeight="1" x14ac:dyDescent="0.25">
      <c r="A9" s="12">
        <v>5451</v>
      </c>
      <c r="B9" s="20" t="s">
        <v>28</v>
      </c>
      <c r="C9" s="20" t="s">
        <v>29</v>
      </c>
      <c r="D9" s="21">
        <v>43892</v>
      </c>
      <c r="E9" s="20" t="s">
        <v>30</v>
      </c>
      <c r="F9" s="20" t="s">
        <v>3</v>
      </c>
      <c r="G9" s="20" t="s">
        <v>31</v>
      </c>
      <c r="H9" s="15">
        <v>20</v>
      </c>
      <c r="I9" s="15">
        <v>10</v>
      </c>
      <c r="J9" s="22">
        <v>8</v>
      </c>
      <c r="K9" s="15">
        <v>9</v>
      </c>
      <c r="L9" s="22">
        <v>10</v>
      </c>
      <c r="M9" s="15">
        <v>5</v>
      </c>
      <c r="N9" s="15">
        <v>5</v>
      </c>
      <c r="O9" s="23">
        <v>10</v>
      </c>
      <c r="P9" s="24">
        <v>3.95</v>
      </c>
      <c r="Q9" s="18">
        <f t="shared" si="0"/>
        <v>80.95</v>
      </c>
      <c r="R9" s="19" t="s">
        <v>127</v>
      </c>
    </row>
    <row r="10" spans="1:18" ht="30.6" customHeight="1" x14ac:dyDescent="0.25">
      <c r="A10" s="12">
        <v>6148</v>
      </c>
      <c r="B10" s="20" t="s">
        <v>48</v>
      </c>
      <c r="C10" s="20" t="s">
        <v>22</v>
      </c>
      <c r="D10" s="21">
        <v>44844</v>
      </c>
      <c r="E10" s="20" t="s">
        <v>32</v>
      </c>
      <c r="F10" s="20" t="s">
        <v>3</v>
      </c>
      <c r="G10" s="20" t="s">
        <v>49</v>
      </c>
      <c r="H10" s="15">
        <v>25</v>
      </c>
      <c r="I10" s="15">
        <v>15</v>
      </c>
      <c r="J10" s="22">
        <v>8</v>
      </c>
      <c r="K10" s="15">
        <v>9</v>
      </c>
      <c r="L10" s="22">
        <v>10</v>
      </c>
      <c r="M10" s="15">
        <v>5</v>
      </c>
      <c r="N10" s="15">
        <v>5</v>
      </c>
      <c r="O10" s="23">
        <v>10</v>
      </c>
      <c r="P10" s="24">
        <v>3.95</v>
      </c>
      <c r="Q10" s="18">
        <f t="shared" si="0"/>
        <v>90.95</v>
      </c>
      <c r="R10" s="19" t="s">
        <v>125</v>
      </c>
    </row>
    <row r="11" spans="1:18" ht="30.6" customHeight="1" x14ac:dyDescent="0.25">
      <c r="A11" s="12">
        <v>7667</v>
      </c>
      <c r="B11" s="20" t="s">
        <v>71</v>
      </c>
      <c r="C11" s="20" t="s">
        <v>22</v>
      </c>
      <c r="D11" s="21">
        <v>45757</v>
      </c>
      <c r="E11" s="20" t="s">
        <v>72</v>
      </c>
      <c r="F11" s="20" t="s">
        <v>3</v>
      </c>
      <c r="G11" s="20" t="s">
        <v>49</v>
      </c>
      <c r="H11" s="15">
        <v>17</v>
      </c>
      <c r="I11" s="15">
        <v>8</v>
      </c>
      <c r="J11" s="22">
        <v>10</v>
      </c>
      <c r="K11" s="15">
        <v>7</v>
      </c>
      <c r="L11" s="22">
        <v>10</v>
      </c>
      <c r="M11" s="15">
        <v>5</v>
      </c>
      <c r="N11" s="15">
        <v>5</v>
      </c>
      <c r="O11" s="23">
        <v>10</v>
      </c>
      <c r="P11" s="24">
        <v>3.95</v>
      </c>
      <c r="Q11" s="18">
        <f t="shared" si="0"/>
        <v>75.95</v>
      </c>
      <c r="R11" s="19" t="s">
        <v>126</v>
      </c>
    </row>
    <row r="12" spans="1:18" ht="30.6" customHeight="1" x14ac:dyDescent="0.25">
      <c r="A12" s="12">
        <v>7722</v>
      </c>
      <c r="B12" s="20" t="s">
        <v>84</v>
      </c>
      <c r="C12" s="20" t="s">
        <v>22</v>
      </c>
      <c r="D12" s="21">
        <v>45798</v>
      </c>
      <c r="E12" s="20" t="s">
        <v>85</v>
      </c>
      <c r="F12" s="20" t="s">
        <v>3</v>
      </c>
      <c r="G12" s="20" t="s">
        <v>13</v>
      </c>
      <c r="H12" s="15">
        <v>17</v>
      </c>
      <c r="I12" s="15">
        <v>8</v>
      </c>
      <c r="J12" s="22">
        <v>10</v>
      </c>
      <c r="K12" s="16">
        <v>9</v>
      </c>
      <c r="L12" s="22">
        <v>10</v>
      </c>
      <c r="M12" s="15">
        <v>5</v>
      </c>
      <c r="N12" s="15">
        <v>5</v>
      </c>
      <c r="O12" s="23">
        <v>8</v>
      </c>
      <c r="P12" s="24">
        <v>3.95</v>
      </c>
      <c r="Q12" s="18">
        <f t="shared" si="0"/>
        <v>75.95</v>
      </c>
      <c r="R12" s="19" t="s">
        <v>126</v>
      </c>
    </row>
    <row r="13" spans="1:18" ht="30.6" customHeight="1" x14ac:dyDescent="0.25">
      <c r="A13" s="12">
        <v>7733</v>
      </c>
      <c r="B13" s="20" t="s">
        <v>103</v>
      </c>
      <c r="C13" s="20" t="s">
        <v>104</v>
      </c>
      <c r="D13" s="21">
        <v>45805</v>
      </c>
      <c r="E13" s="20" t="s">
        <v>105</v>
      </c>
      <c r="F13" s="20" t="s">
        <v>3</v>
      </c>
      <c r="G13" s="20" t="s">
        <v>104</v>
      </c>
      <c r="H13" s="15">
        <v>15</v>
      </c>
      <c r="I13" s="15">
        <v>10</v>
      </c>
      <c r="J13" s="16">
        <v>10</v>
      </c>
      <c r="K13" s="16">
        <v>9</v>
      </c>
      <c r="L13" s="16">
        <v>10</v>
      </c>
      <c r="M13" s="16">
        <v>3</v>
      </c>
      <c r="N13" s="15">
        <v>5</v>
      </c>
      <c r="O13" s="16">
        <v>10</v>
      </c>
      <c r="P13" s="17">
        <v>3.15</v>
      </c>
      <c r="Q13" s="18">
        <f t="shared" si="0"/>
        <v>75.150000000000006</v>
      </c>
      <c r="R13" s="19" t="s">
        <v>126</v>
      </c>
    </row>
    <row r="14" spans="1:18" ht="30.6" customHeight="1" x14ac:dyDescent="0.25">
      <c r="A14" s="12">
        <v>5583</v>
      </c>
      <c r="B14" s="20" t="s">
        <v>21</v>
      </c>
      <c r="C14" s="20" t="s">
        <v>22</v>
      </c>
      <c r="D14" s="21">
        <v>44256</v>
      </c>
      <c r="E14" s="20" t="s">
        <v>23</v>
      </c>
      <c r="F14" s="20" t="s">
        <v>3</v>
      </c>
      <c r="G14" s="20" t="s">
        <v>24</v>
      </c>
      <c r="H14" s="15">
        <v>24</v>
      </c>
      <c r="I14" s="15">
        <v>15</v>
      </c>
      <c r="J14" s="22">
        <v>10</v>
      </c>
      <c r="K14" s="15">
        <v>10</v>
      </c>
      <c r="L14" s="22">
        <v>10</v>
      </c>
      <c r="M14" s="15">
        <v>5</v>
      </c>
      <c r="N14" s="15">
        <v>5</v>
      </c>
      <c r="O14" s="23">
        <v>8</v>
      </c>
      <c r="P14" s="24">
        <v>3.95</v>
      </c>
      <c r="Q14" s="18">
        <f t="shared" si="0"/>
        <v>90.95</v>
      </c>
      <c r="R14" s="19" t="s">
        <v>125</v>
      </c>
    </row>
    <row r="15" spans="1:18" ht="30.6" customHeight="1" x14ac:dyDescent="0.25">
      <c r="A15" s="12">
        <v>7436</v>
      </c>
      <c r="B15" s="20" t="s">
        <v>101</v>
      </c>
      <c r="C15" s="20" t="s">
        <v>22</v>
      </c>
      <c r="D15" s="21">
        <v>45579</v>
      </c>
      <c r="E15" s="20" t="s">
        <v>102</v>
      </c>
      <c r="F15" s="20" t="s">
        <v>3</v>
      </c>
      <c r="G15" s="20" t="s">
        <v>49</v>
      </c>
      <c r="H15" s="15">
        <v>18</v>
      </c>
      <c r="I15" s="15">
        <v>8</v>
      </c>
      <c r="J15" s="16">
        <v>8</v>
      </c>
      <c r="K15" s="16">
        <v>9</v>
      </c>
      <c r="L15" s="16">
        <v>10</v>
      </c>
      <c r="M15" s="16">
        <v>3</v>
      </c>
      <c r="N15" s="15">
        <v>5</v>
      </c>
      <c r="O15" s="16">
        <v>10</v>
      </c>
      <c r="P15" s="17">
        <v>3.95</v>
      </c>
      <c r="Q15" s="18">
        <f t="shared" si="0"/>
        <v>74.95</v>
      </c>
      <c r="R15" s="19" t="s">
        <v>126</v>
      </c>
    </row>
    <row r="16" spans="1:18" ht="30.6" customHeight="1" x14ac:dyDescent="0.25">
      <c r="A16" s="12">
        <v>5946</v>
      </c>
      <c r="B16" s="20" t="s">
        <v>38</v>
      </c>
      <c r="C16" s="20" t="s">
        <v>22</v>
      </c>
      <c r="D16" s="21">
        <v>44774</v>
      </c>
      <c r="E16" s="20" t="s">
        <v>39</v>
      </c>
      <c r="F16" s="20" t="s">
        <v>3</v>
      </c>
      <c r="G16" s="20" t="s">
        <v>24</v>
      </c>
      <c r="H16" s="15">
        <v>25</v>
      </c>
      <c r="I16" s="15">
        <v>15</v>
      </c>
      <c r="J16" s="22">
        <v>10</v>
      </c>
      <c r="K16" s="15">
        <v>7</v>
      </c>
      <c r="L16" s="22">
        <v>10</v>
      </c>
      <c r="M16" s="15">
        <v>5</v>
      </c>
      <c r="N16" s="15">
        <v>5</v>
      </c>
      <c r="O16" s="23">
        <v>10</v>
      </c>
      <c r="P16" s="24">
        <v>3.95</v>
      </c>
      <c r="Q16" s="18">
        <f t="shared" si="0"/>
        <v>90.95</v>
      </c>
      <c r="R16" s="19" t="s">
        <v>125</v>
      </c>
    </row>
    <row r="17" spans="1:18" ht="30.6" customHeight="1" x14ac:dyDescent="0.25">
      <c r="A17" s="12">
        <v>7666</v>
      </c>
      <c r="B17" s="20" t="s">
        <v>81</v>
      </c>
      <c r="C17" s="20" t="s">
        <v>26</v>
      </c>
      <c r="D17" s="21">
        <v>45757</v>
      </c>
      <c r="E17" s="20" t="s">
        <v>72</v>
      </c>
      <c r="F17" s="20" t="s">
        <v>3</v>
      </c>
      <c r="G17" s="20" t="s">
        <v>27</v>
      </c>
      <c r="H17" s="15">
        <v>21</v>
      </c>
      <c r="I17" s="15">
        <v>10</v>
      </c>
      <c r="J17" s="22">
        <v>5</v>
      </c>
      <c r="K17" s="15">
        <v>9</v>
      </c>
      <c r="L17" s="22">
        <v>10</v>
      </c>
      <c r="M17" s="15">
        <v>5</v>
      </c>
      <c r="N17" s="15">
        <v>5</v>
      </c>
      <c r="O17" s="23">
        <v>8</v>
      </c>
      <c r="P17" s="24">
        <v>3.7</v>
      </c>
      <c r="Q17" s="18">
        <f t="shared" si="0"/>
        <v>76.7</v>
      </c>
      <c r="R17" s="19" t="s">
        <v>127</v>
      </c>
    </row>
    <row r="18" spans="1:18" ht="30.6" customHeight="1" x14ac:dyDescent="0.25">
      <c r="A18" s="12">
        <v>3580</v>
      </c>
      <c r="B18" s="20" t="s">
        <v>46</v>
      </c>
      <c r="C18" s="20" t="s">
        <v>11</v>
      </c>
      <c r="D18" s="21">
        <v>42199</v>
      </c>
      <c r="E18" s="20" t="s">
        <v>47</v>
      </c>
      <c r="F18" s="20" t="s">
        <v>3</v>
      </c>
      <c r="G18" s="20" t="s">
        <v>42</v>
      </c>
      <c r="H18" s="15">
        <v>24</v>
      </c>
      <c r="I18" s="15">
        <v>15</v>
      </c>
      <c r="J18" s="22">
        <v>10</v>
      </c>
      <c r="K18" s="15">
        <v>10</v>
      </c>
      <c r="L18" s="22">
        <v>10</v>
      </c>
      <c r="M18" s="15">
        <v>3</v>
      </c>
      <c r="N18" s="15">
        <v>5</v>
      </c>
      <c r="O18" s="23">
        <v>10</v>
      </c>
      <c r="P18" s="24">
        <v>3.65</v>
      </c>
      <c r="Q18" s="18">
        <f t="shared" si="0"/>
        <v>90.65</v>
      </c>
      <c r="R18" s="19" t="s">
        <v>125</v>
      </c>
    </row>
    <row r="19" spans="1:18" ht="30.6" customHeight="1" x14ac:dyDescent="0.25">
      <c r="A19" s="12">
        <v>7669</v>
      </c>
      <c r="B19" s="20" t="s">
        <v>95</v>
      </c>
      <c r="C19" s="20" t="s">
        <v>1</v>
      </c>
      <c r="D19" s="21">
        <v>45757</v>
      </c>
      <c r="E19" s="20" t="s">
        <v>72</v>
      </c>
      <c r="F19" s="20" t="s">
        <v>3</v>
      </c>
      <c r="G19" s="20" t="s">
        <v>41</v>
      </c>
      <c r="H19" s="15">
        <v>23</v>
      </c>
      <c r="I19" s="15">
        <v>11</v>
      </c>
      <c r="J19" s="16">
        <v>5</v>
      </c>
      <c r="K19" s="16">
        <v>9</v>
      </c>
      <c r="L19" s="16">
        <v>10</v>
      </c>
      <c r="M19" s="16">
        <v>0</v>
      </c>
      <c r="N19" s="15">
        <v>5</v>
      </c>
      <c r="O19" s="16">
        <v>10</v>
      </c>
      <c r="P19" s="17">
        <v>3.95</v>
      </c>
      <c r="Q19" s="18">
        <f t="shared" si="0"/>
        <v>76.95</v>
      </c>
      <c r="R19" s="19" t="s">
        <v>127</v>
      </c>
    </row>
    <row r="20" spans="1:18" ht="30.6" customHeight="1" x14ac:dyDescent="0.25">
      <c r="A20" s="12">
        <v>6889</v>
      </c>
      <c r="B20" s="20" t="s">
        <v>0</v>
      </c>
      <c r="C20" s="20" t="s">
        <v>1</v>
      </c>
      <c r="D20" s="21">
        <v>45222</v>
      </c>
      <c r="E20" s="20" t="s">
        <v>2</v>
      </c>
      <c r="F20" s="20" t="s">
        <v>3</v>
      </c>
      <c r="G20" s="20" t="s">
        <v>4</v>
      </c>
      <c r="H20" s="15">
        <v>25</v>
      </c>
      <c r="I20" s="15">
        <v>15</v>
      </c>
      <c r="J20" s="22">
        <v>5</v>
      </c>
      <c r="K20" s="15">
        <v>10</v>
      </c>
      <c r="L20" s="15">
        <v>10</v>
      </c>
      <c r="M20" s="15">
        <v>0</v>
      </c>
      <c r="N20" s="15">
        <v>5</v>
      </c>
      <c r="O20" s="23">
        <v>8</v>
      </c>
      <c r="P20" s="24">
        <v>3.95</v>
      </c>
      <c r="Q20" s="18">
        <f t="shared" si="0"/>
        <v>81.95</v>
      </c>
      <c r="R20" s="19" t="s">
        <v>127</v>
      </c>
    </row>
    <row r="21" spans="1:18" ht="30.6" customHeight="1" x14ac:dyDescent="0.25">
      <c r="A21" s="12">
        <v>7453</v>
      </c>
      <c r="B21" s="20" t="s">
        <v>107</v>
      </c>
      <c r="C21" s="20" t="s">
        <v>22</v>
      </c>
      <c r="D21" s="21">
        <v>45579</v>
      </c>
      <c r="E21" s="20" t="s">
        <v>102</v>
      </c>
      <c r="F21" s="20" t="s">
        <v>3</v>
      </c>
      <c r="G21" s="20" t="s">
        <v>49</v>
      </c>
      <c r="H21" s="15">
        <v>20</v>
      </c>
      <c r="I21" s="15">
        <v>10</v>
      </c>
      <c r="J21" s="16">
        <v>10</v>
      </c>
      <c r="K21" s="16">
        <v>5</v>
      </c>
      <c r="L21" s="16">
        <v>5</v>
      </c>
      <c r="M21" s="16">
        <v>3</v>
      </c>
      <c r="N21" s="15">
        <v>5</v>
      </c>
      <c r="O21" s="16">
        <v>10</v>
      </c>
      <c r="P21" s="17">
        <v>3.95</v>
      </c>
      <c r="Q21" s="18">
        <f t="shared" si="0"/>
        <v>71.95</v>
      </c>
      <c r="R21" s="19" t="s">
        <v>126</v>
      </c>
    </row>
    <row r="22" spans="1:18" ht="30.6" customHeight="1" x14ac:dyDescent="0.25">
      <c r="A22" s="12">
        <v>5667</v>
      </c>
      <c r="B22" s="20" t="s">
        <v>53</v>
      </c>
      <c r="C22" s="20" t="s">
        <v>26</v>
      </c>
      <c r="D22" s="21">
        <v>44317</v>
      </c>
      <c r="E22" s="20" t="s">
        <v>54</v>
      </c>
      <c r="F22" s="20" t="s">
        <v>3</v>
      </c>
      <c r="G22" s="20" t="s">
        <v>45</v>
      </c>
      <c r="H22" s="15">
        <v>23</v>
      </c>
      <c r="I22" s="15">
        <v>12</v>
      </c>
      <c r="J22" s="22">
        <v>10</v>
      </c>
      <c r="K22" s="15">
        <v>5</v>
      </c>
      <c r="L22" s="22">
        <v>10</v>
      </c>
      <c r="M22" s="15">
        <v>0</v>
      </c>
      <c r="N22" s="15">
        <v>5</v>
      </c>
      <c r="O22" s="23">
        <v>8</v>
      </c>
      <c r="P22" s="24">
        <v>3.7</v>
      </c>
      <c r="Q22" s="18">
        <f t="shared" si="0"/>
        <v>76.7</v>
      </c>
      <c r="R22" s="19" t="s">
        <v>127</v>
      </c>
    </row>
    <row r="23" spans="1:18" ht="30.6" customHeight="1" x14ac:dyDescent="0.25">
      <c r="A23" s="12">
        <v>6276</v>
      </c>
      <c r="B23" s="20" t="s">
        <v>50</v>
      </c>
      <c r="C23" s="20" t="s">
        <v>26</v>
      </c>
      <c r="D23" s="21">
        <v>44916</v>
      </c>
      <c r="E23" s="20" t="s">
        <v>51</v>
      </c>
      <c r="F23" s="20" t="s">
        <v>3</v>
      </c>
      <c r="G23" s="20" t="s">
        <v>45</v>
      </c>
      <c r="H23" s="15">
        <v>25</v>
      </c>
      <c r="I23" s="15">
        <v>15</v>
      </c>
      <c r="J23" s="22">
        <v>8</v>
      </c>
      <c r="K23" s="15">
        <v>10</v>
      </c>
      <c r="L23" s="22">
        <v>10</v>
      </c>
      <c r="M23" s="15">
        <v>5</v>
      </c>
      <c r="N23" s="15">
        <v>5</v>
      </c>
      <c r="O23" s="23">
        <v>10</v>
      </c>
      <c r="P23" s="24">
        <v>3.7</v>
      </c>
      <c r="Q23" s="18">
        <f t="shared" si="0"/>
        <v>91.7</v>
      </c>
      <c r="R23" s="19" t="s">
        <v>125</v>
      </c>
    </row>
    <row r="24" spans="1:18" ht="30.6" customHeight="1" x14ac:dyDescent="0.25">
      <c r="A24" s="12">
        <v>7670</v>
      </c>
      <c r="B24" s="20" t="s">
        <v>92</v>
      </c>
      <c r="C24" s="20" t="s">
        <v>93</v>
      </c>
      <c r="D24" s="21">
        <v>45757</v>
      </c>
      <c r="E24" s="20" t="s">
        <v>72</v>
      </c>
      <c r="F24" s="20" t="s">
        <v>3</v>
      </c>
      <c r="G24" s="20" t="s">
        <v>94</v>
      </c>
      <c r="H24" s="15">
        <v>20</v>
      </c>
      <c r="I24" s="15">
        <v>10</v>
      </c>
      <c r="J24" s="16">
        <v>10</v>
      </c>
      <c r="K24" s="16">
        <v>5</v>
      </c>
      <c r="L24" s="16">
        <v>10</v>
      </c>
      <c r="M24" s="16">
        <v>0</v>
      </c>
      <c r="N24" s="15">
        <v>5</v>
      </c>
      <c r="O24" s="16">
        <v>8</v>
      </c>
      <c r="P24" s="17">
        <v>3.7</v>
      </c>
      <c r="Q24" s="18">
        <f t="shared" si="0"/>
        <v>71.7</v>
      </c>
      <c r="R24" s="19" t="s">
        <v>126</v>
      </c>
    </row>
    <row r="25" spans="1:18" ht="30.6" customHeight="1" x14ac:dyDescent="0.25">
      <c r="A25" s="12">
        <v>7888</v>
      </c>
      <c r="B25" s="20" t="s">
        <v>10</v>
      </c>
      <c r="C25" s="20" t="s">
        <v>11</v>
      </c>
      <c r="D25" s="21">
        <v>45880</v>
      </c>
      <c r="E25" s="20" t="s">
        <v>12</v>
      </c>
      <c r="F25" s="20" t="s">
        <v>3</v>
      </c>
      <c r="G25" s="20" t="s">
        <v>13</v>
      </c>
      <c r="H25" s="15">
        <v>20</v>
      </c>
      <c r="I25" s="15">
        <v>10</v>
      </c>
      <c r="J25" s="22">
        <v>10</v>
      </c>
      <c r="K25" s="15">
        <v>2</v>
      </c>
      <c r="L25" s="22">
        <v>10</v>
      </c>
      <c r="M25" s="15">
        <v>3</v>
      </c>
      <c r="N25" s="15">
        <v>5</v>
      </c>
      <c r="O25" s="23">
        <v>8</v>
      </c>
      <c r="P25" s="24">
        <v>3.7</v>
      </c>
      <c r="Q25" s="18">
        <f t="shared" si="0"/>
        <v>71.7</v>
      </c>
      <c r="R25" s="19" t="s">
        <v>126</v>
      </c>
    </row>
    <row r="26" spans="1:18" ht="30.6" customHeight="1" x14ac:dyDescent="0.25">
      <c r="A26" s="12">
        <v>5902</v>
      </c>
      <c r="B26" s="20" t="s">
        <v>19</v>
      </c>
      <c r="C26" s="20" t="s">
        <v>1</v>
      </c>
      <c r="D26" s="21">
        <v>44652</v>
      </c>
      <c r="E26" s="20" t="s">
        <v>20</v>
      </c>
      <c r="F26" s="20" t="s">
        <v>3</v>
      </c>
      <c r="G26" s="20" t="s">
        <v>4</v>
      </c>
      <c r="H26" s="15">
        <v>24</v>
      </c>
      <c r="I26" s="15">
        <v>12</v>
      </c>
      <c r="J26" s="22">
        <v>10</v>
      </c>
      <c r="K26" s="15">
        <v>9</v>
      </c>
      <c r="L26" s="22">
        <v>5</v>
      </c>
      <c r="M26" s="15">
        <v>0</v>
      </c>
      <c r="N26" s="15">
        <v>5</v>
      </c>
      <c r="O26" s="23">
        <v>8</v>
      </c>
      <c r="P26" s="24">
        <v>3.95</v>
      </c>
      <c r="Q26" s="18">
        <f t="shared" si="0"/>
        <v>76.95</v>
      </c>
      <c r="R26" s="19" t="s">
        <v>127</v>
      </c>
    </row>
    <row r="27" spans="1:18" ht="30.6" customHeight="1" x14ac:dyDescent="0.25">
      <c r="A27" s="12">
        <v>6023</v>
      </c>
      <c r="B27" s="20" t="s">
        <v>14</v>
      </c>
      <c r="C27" s="20" t="s">
        <v>15</v>
      </c>
      <c r="D27" s="21">
        <v>44886</v>
      </c>
      <c r="E27" s="20" t="s">
        <v>16</v>
      </c>
      <c r="F27" s="20" t="s">
        <v>3</v>
      </c>
      <c r="G27" s="20" t="s">
        <v>17</v>
      </c>
      <c r="H27" s="15">
        <v>25</v>
      </c>
      <c r="I27" s="15">
        <v>15</v>
      </c>
      <c r="J27" s="22">
        <v>2</v>
      </c>
      <c r="K27" s="15">
        <v>9</v>
      </c>
      <c r="L27" s="22">
        <v>10</v>
      </c>
      <c r="M27" s="15">
        <v>0</v>
      </c>
      <c r="N27" s="15">
        <v>5</v>
      </c>
      <c r="O27" s="23">
        <v>10</v>
      </c>
      <c r="P27" s="24">
        <v>3.6</v>
      </c>
      <c r="Q27" s="18">
        <f t="shared" si="0"/>
        <v>79.599999999999994</v>
      </c>
      <c r="R27" s="19" t="s">
        <v>127</v>
      </c>
    </row>
    <row r="28" spans="1:18" ht="30.6" customHeight="1" x14ac:dyDescent="0.25">
      <c r="A28" s="12">
        <v>6024</v>
      </c>
      <c r="B28" s="20" t="s">
        <v>40</v>
      </c>
      <c r="C28" s="20" t="s">
        <v>1</v>
      </c>
      <c r="D28" s="21">
        <v>44886</v>
      </c>
      <c r="E28" s="20" t="s">
        <v>16</v>
      </c>
      <c r="F28" s="20" t="s">
        <v>3</v>
      </c>
      <c r="G28" s="20" t="s">
        <v>41</v>
      </c>
      <c r="H28" s="15">
        <v>20</v>
      </c>
      <c r="I28" s="15">
        <v>10</v>
      </c>
      <c r="J28" s="22">
        <v>5</v>
      </c>
      <c r="K28" s="15">
        <v>0</v>
      </c>
      <c r="L28" s="22">
        <v>10</v>
      </c>
      <c r="M28" s="15">
        <v>3</v>
      </c>
      <c r="N28" s="15">
        <v>5</v>
      </c>
      <c r="O28" s="23">
        <v>10</v>
      </c>
      <c r="P28" s="24">
        <v>3.95</v>
      </c>
      <c r="Q28" s="18">
        <f t="shared" si="0"/>
        <v>66.95</v>
      </c>
      <c r="R28" s="19" t="s">
        <v>126</v>
      </c>
    </row>
    <row r="29" spans="1:18" ht="30.6" customHeight="1" x14ac:dyDescent="0.25">
      <c r="A29" s="12">
        <v>8003</v>
      </c>
      <c r="B29" s="20" t="s">
        <v>66</v>
      </c>
      <c r="C29" s="20" t="s">
        <v>67</v>
      </c>
      <c r="D29" s="21">
        <v>45964</v>
      </c>
      <c r="E29" s="20" t="s">
        <v>63</v>
      </c>
      <c r="F29" s="20" t="s">
        <v>3</v>
      </c>
      <c r="G29" s="20" t="s">
        <v>13</v>
      </c>
      <c r="H29" s="15">
        <v>21</v>
      </c>
      <c r="I29" s="15">
        <v>10</v>
      </c>
      <c r="J29" s="22">
        <v>5</v>
      </c>
      <c r="K29" s="15">
        <v>9</v>
      </c>
      <c r="L29" s="22">
        <v>10</v>
      </c>
      <c r="M29" s="15">
        <v>5</v>
      </c>
      <c r="N29" s="15">
        <v>5</v>
      </c>
      <c r="O29" s="23">
        <v>8</v>
      </c>
      <c r="P29" s="24">
        <v>3.6</v>
      </c>
      <c r="Q29" s="18">
        <f t="shared" si="0"/>
        <v>76.599999999999994</v>
      </c>
      <c r="R29" s="19" t="s">
        <v>127</v>
      </c>
    </row>
    <row r="30" spans="1:18" ht="30.6" customHeight="1" x14ac:dyDescent="0.25">
      <c r="A30" s="12">
        <v>8060</v>
      </c>
      <c r="B30" s="25" t="s">
        <v>97</v>
      </c>
      <c r="C30" s="25" t="s">
        <v>58</v>
      </c>
      <c r="D30" s="21">
        <v>45985</v>
      </c>
      <c r="E30" s="25" t="s">
        <v>98</v>
      </c>
      <c r="F30" s="25" t="s">
        <v>3</v>
      </c>
      <c r="G30" s="25" t="s">
        <v>13</v>
      </c>
      <c r="H30" s="16"/>
      <c r="I30" s="16"/>
      <c r="J30" s="16"/>
      <c r="K30" s="16"/>
      <c r="L30" s="16"/>
      <c r="M30" s="16"/>
      <c r="N30" s="16"/>
      <c r="O30" s="16"/>
      <c r="P30" s="17"/>
      <c r="Q30" s="18"/>
      <c r="R30" s="19"/>
    </row>
    <row r="31" spans="1:18" ht="30.6" customHeight="1" x14ac:dyDescent="0.25">
      <c r="A31" s="12">
        <v>8090</v>
      </c>
      <c r="B31" s="25" t="s">
        <v>78</v>
      </c>
      <c r="C31" s="25" t="s">
        <v>29</v>
      </c>
      <c r="D31" s="21">
        <v>45992</v>
      </c>
      <c r="E31" s="25" t="s">
        <v>65</v>
      </c>
      <c r="F31" s="25" t="s">
        <v>3</v>
      </c>
      <c r="G31" s="25" t="s">
        <v>13</v>
      </c>
      <c r="H31" s="15"/>
      <c r="I31" s="15"/>
      <c r="J31" s="22"/>
      <c r="K31" s="15"/>
      <c r="L31" s="22"/>
      <c r="M31" s="15"/>
      <c r="N31" s="15"/>
      <c r="O31" s="23"/>
      <c r="P31" s="24"/>
      <c r="Q31" s="18"/>
      <c r="R31" s="19"/>
    </row>
    <row r="32" spans="1:18" ht="30.6" customHeight="1" x14ac:dyDescent="0.25">
      <c r="A32" s="12">
        <v>8094</v>
      </c>
      <c r="B32" s="25" t="s">
        <v>86</v>
      </c>
      <c r="C32" s="25" t="s">
        <v>29</v>
      </c>
      <c r="D32" s="21">
        <v>45992</v>
      </c>
      <c r="E32" s="25" t="s">
        <v>65</v>
      </c>
      <c r="F32" s="25" t="s">
        <v>3</v>
      </c>
      <c r="G32" s="25" t="s">
        <v>13</v>
      </c>
      <c r="H32" s="15"/>
      <c r="I32" s="15"/>
      <c r="J32" s="22"/>
      <c r="K32" s="15"/>
      <c r="L32" s="22"/>
      <c r="M32" s="15"/>
      <c r="N32" s="15"/>
      <c r="O32" s="23"/>
      <c r="P32" s="24"/>
      <c r="Q32" s="18"/>
      <c r="R32" s="19"/>
    </row>
    <row r="33" spans="1:18" ht="30.6" customHeight="1" x14ac:dyDescent="0.25">
      <c r="A33" s="12">
        <v>8089</v>
      </c>
      <c r="B33" s="25" t="s">
        <v>91</v>
      </c>
      <c r="C33" s="25" t="s">
        <v>29</v>
      </c>
      <c r="D33" s="21">
        <v>45992</v>
      </c>
      <c r="E33" s="25" t="s">
        <v>65</v>
      </c>
      <c r="F33" s="25" t="s">
        <v>3</v>
      </c>
      <c r="G33" s="25" t="s">
        <v>13</v>
      </c>
      <c r="H33" s="16"/>
      <c r="I33" s="16"/>
      <c r="J33" s="16"/>
      <c r="K33" s="16"/>
      <c r="L33" s="16"/>
      <c r="M33" s="16"/>
      <c r="N33" s="16"/>
      <c r="O33" s="16"/>
      <c r="P33" s="17"/>
      <c r="Q33" s="18"/>
      <c r="R33" s="19"/>
    </row>
    <row r="34" spans="1:18" ht="30.6" customHeight="1" x14ac:dyDescent="0.25">
      <c r="A34" s="12">
        <v>8127</v>
      </c>
      <c r="B34" s="25" t="s">
        <v>89</v>
      </c>
      <c r="C34" s="25" t="s">
        <v>22</v>
      </c>
      <c r="D34" s="21">
        <v>46013</v>
      </c>
      <c r="E34" s="25" t="s">
        <v>90</v>
      </c>
      <c r="F34" s="25" t="s">
        <v>3</v>
      </c>
      <c r="G34" s="25" t="s">
        <v>49</v>
      </c>
      <c r="H34" s="16"/>
      <c r="I34" s="16"/>
      <c r="J34" s="16"/>
      <c r="K34" s="16"/>
      <c r="L34" s="16"/>
      <c r="M34" s="16"/>
      <c r="N34" s="16"/>
      <c r="O34" s="16"/>
      <c r="P34" s="17"/>
      <c r="Q34" s="18"/>
      <c r="R34" s="19"/>
    </row>
    <row r="35" spans="1:18" ht="30.6" customHeight="1" x14ac:dyDescent="0.25">
      <c r="A35" s="12">
        <v>8171</v>
      </c>
      <c r="B35" s="25" t="s">
        <v>82</v>
      </c>
      <c r="C35" s="25" t="s">
        <v>34</v>
      </c>
      <c r="D35" s="21">
        <v>46041</v>
      </c>
      <c r="E35" s="25" t="s">
        <v>83</v>
      </c>
      <c r="F35" s="25" t="s">
        <v>3</v>
      </c>
      <c r="G35" s="25" t="s">
        <v>13</v>
      </c>
      <c r="H35" s="15"/>
      <c r="I35" s="15"/>
      <c r="J35" s="22"/>
      <c r="K35" s="15"/>
      <c r="L35" s="22"/>
      <c r="M35" s="15"/>
      <c r="N35" s="15"/>
      <c r="O35" s="23"/>
      <c r="P35" s="24"/>
      <c r="Q35" s="18"/>
      <c r="R35" s="19"/>
    </row>
    <row r="36" spans="1:18" ht="30.6" customHeight="1" x14ac:dyDescent="0.25">
      <c r="A36" s="12">
        <v>8167</v>
      </c>
      <c r="B36" s="25" t="s">
        <v>100</v>
      </c>
      <c r="C36" s="25" t="s">
        <v>29</v>
      </c>
      <c r="D36" s="21">
        <v>46041</v>
      </c>
      <c r="E36" s="25" t="s">
        <v>83</v>
      </c>
      <c r="F36" s="25" t="s">
        <v>3</v>
      </c>
      <c r="G36" s="25" t="s">
        <v>13</v>
      </c>
      <c r="H36" s="16"/>
      <c r="I36" s="16"/>
      <c r="J36" s="16"/>
      <c r="K36" s="16"/>
      <c r="L36" s="16"/>
      <c r="M36" s="16"/>
      <c r="N36" s="16"/>
      <c r="O36" s="16"/>
      <c r="P36" s="17"/>
      <c r="Q36" s="18"/>
      <c r="R36" s="19"/>
    </row>
    <row r="37" spans="1:18" ht="30.6" customHeight="1" x14ac:dyDescent="0.25">
      <c r="A37" s="12">
        <v>7513</v>
      </c>
      <c r="B37" s="20" t="s">
        <v>68</v>
      </c>
      <c r="C37" s="20" t="s">
        <v>69</v>
      </c>
      <c r="D37" s="21">
        <v>45630</v>
      </c>
      <c r="E37" s="20" t="s">
        <v>70</v>
      </c>
      <c r="F37" s="20" t="s">
        <v>3</v>
      </c>
      <c r="G37" s="20" t="s">
        <v>33</v>
      </c>
      <c r="H37" s="15">
        <v>20</v>
      </c>
      <c r="I37" s="15">
        <v>10</v>
      </c>
      <c r="J37" s="22">
        <v>8</v>
      </c>
      <c r="K37" s="15">
        <v>7</v>
      </c>
      <c r="L37" s="22">
        <v>5</v>
      </c>
      <c r="M37" s="15">
        <v>0</v>
      </c>
      <c r="N37" s="15">
        <v>5</v>
      </c>
      <c r="O37" s="23">
        <v>8</v>
      </c>
      <c r="P37" s="24">
        <v>3.65</v>
      </c>
      <c r="Q37" s="18">
        <f t="shared" si="0"/>
        <v>66.650000000000006</v>
      </c>
      <c r="R37" s="19" t="s">
        <v>126</v>
      </c>
    </row>
    <row r="38" spans="1:18" ht="30.6" customHeight="1" x14ac:dyDescent="0.25">
      <c r="A38" s="12">
        <v>6026</v>
      </c>
      <c r="B38" s="20" t="s">
        <v>37</v>
      </c>
      <c r="C38" s="20" t="s">
        <v>11</v>
      </c>
      <c r="D38" s="21">
        <v>44886</v>
      </c>
      <c r="E38" s="20" t="s">
        <v>16</v>
      </c>
      <c r="F38" s="20" t="s">
        <v>3</v>
      </c>
      <c r="G38" s="20" t="s">
        <v>33</v>
      </c>
      <c r="H38" s="15">
        <v>17</v>
      </c>
      <c r="I38" s="15">
        <v>10</v>
      </c>
      <c r="J38" s="22">
        <v>10</v>
      </c>
      <c r="K38" s="15">
        <v>9</v>
      </c>
      <c r="L38" s="22">
        <v>0</v>
      </c>
      <c r="M38" s="15">
        <v>0</v>
      </c>
      <c r="N38" s="15">
        <v>5</v>
      </c>
      <c r="O38" s="23">
        <v>6</v>
      </c>
      <c r="P38" s="24">
        <v>3.65</v>
      </c>
      <c r="Q38" s="18">
        <f t="shared" si="0"/>
        <v>60.65</v>
      </c>
      <c r="R38" s="19" t="s">
        <v>128</v>
      </c>
    </row>
    <row r="39" spans="1:18" ht="30.6" customHeight="1" x14ac:dyDescent="0.25">
      <c r="A39" s="12">
        <v>7557</v>
      </c>
      <c r="B39" s="20" t="s">
        <v>75</v>
      </c>
      <c r="C39" s="20" t="s">
        <v>1</v>
      </c>
      <c r="D39" s="21">
        <v>45672</v>
      </c>
      <c r="E39" s="20" t="s">
        <v>76</v>
      </c>
      <c r="F39" s="20" t="s">
        <v>3</v>
      </c>
      <c r="G39" s="20" t="s">
        <v>41</v>
      </c>
      <c r="H39" s="15">
        <v>25</v>
      </c>
      <c r="I39" s="15">
        <v>15</v>
      </c>
      <c r="J39" s="22">
        <v>8</v>
      </c>
      <c r="K39" s="15">
        <v>7</v>
      </c>
      <c r="L39" s="22">
        <v>0</v>
      </c>
      <c r="M39" s="15">
        <v>0</v>
      </c>
      <c r="N39" s="15">
        <v>5</v>
      </c>
      <c r="O39" s="23">
        <v>0</v>
      </c>
      <c r="P39" s="24">
        <v>3.95</v>
      </c>
      <c r="Q39" s="18">
        <f t="shared" si="0"/>
        <v>63.95</v>
      </c>
      <c r="R39" s="19" t="s">
        <v>126</v>
      </c>
    </row>
    <row r="40" spans="1:18" ht="30.6" customHeight="1" x14ac:dyDescent="0.25">
      <c r="A40" s="12">
        <v>8251</v>
      </c>
      <c r="B40" s="25" t="s">
        <v>73</v>
      </c>
      <c r="C40" s="25" t="s">
        <v>22</v>
      </c>
      <c r="D40" s="21">
        <v>46090</v>
      </c>
      <c r="E40" s="25" t="s">
        <v>74</v>
      </c>
      <c r="F40" s="25" t="s">
        <v>3</v>
      </c>
      <c r="G40" s="25" t="s">
        <v>13</v>
      </c>
      <c r="H40" s="15"/>
      <c r="I40" s="15"/>
      <c r="J40" s="22"/>
      <c r="K40" s="15"/>
      <c r="L40" s="22"/>
      <c r="M40" s="15"/>
      <c r="N40" s="15"/>
      <c r="O40" s="23"/>
      <c r="P40" s="24"/>
      <c r="Q40" s="18"/>
      <c r="R40" s="19"/>
    </row>
    <row r="41" spans="1:18" ht="30.6" customHeight="1" x14ac:dyDescent="0.25">
      <c r="A41" s="12">
        <v>8240</v>
      </c>
      <c r="B41" s="25" t="s">
        <v>61</v>
      </c>
      <c r="C41" s="25" t="s">
        <v>29</v>
      </c>
      <c r="D41" s="21">
        <v>46076</v>
      </c>
      <c r="E41" s="25" t="s">
        <v>62</v>
      </c>
      <c r="F41" s="25" t="s">
        <v>3</v>
      </c>
      <c r="G41" s="25" t="s">
        <v>13</v>
      </c>
      <c r="H41" s="15"/>
      <c r="I41" s="15"/>
      <c r="J41" s="22"/>
      <c r="K41" s="15"/>
      <c r="L41" s="22"/>
      <c r="M41" s="15"/>
      <c r="N41" s="15"/>
      <c r="O41" s="23"/>
      <c r="P41" s="24"/>
      <c r="Q41" s="18"/>
      <c r="R41" s="19"/>
    </row>
    <row r="42" spans="1:18" ht="30" customHeight="1" x14ac:dyDescent="0.25">
      <c r="A42" s="12">
        <v>8273</v>
      </c>
      <c r="B42" s="25" t="s">
        <v>87</v>
      </c>
      <c r="C42" s="25" t="s">
        <v>64</v>
      </c>
      <c r="D42" s="21">
        <v>46097</v>
      </c>
      <c r="E42" s="25" t="s">
        <v>88</v>
      </c>
      <c r="F42" s="25" t="s">
        <v>3</v>
      </c>
      <c r="G42" s="25" t="s">
        <v>13</v>
      </c>
      <c r="H42" s="16"/>
      <c r="I42" s="16"/>
      <c r="J42" s="16"/>
      <c r="K42" s="16"/>
      <c r="L42" s="16"/>
      <c r="M42" s="16"/>
      <c r="N42" s="16"/>
      <c r="O42" s="16"/>
      <c r="P42" s="17"/>
      <c r="Q42" s="18"/>
      <c r="R42" s="19"/>
    </row>
    <row r="43" spans="1:18" ht="30" customHeight="1" x14ac:dyDescent="0.25">
      <c r="A43" s="12">
        <v>8269</v>
      </c>
      <c r="B43" s="25" t="s">
        <v>96</v>
      </c>
      <c r="C43" s="25" t="s">
        <v>29</v>
      </c>
      <c r="D43" s="21">
        <v>46097</v>
      </c>
      <c r="E43" s="25" t="s">
        <v>88</v>
      </c>
      <c r="F43" s="25" t="s">
        <v>3</v>
      </c>
      <c r="G43" s="25" t="s">
        <v>13</v>
      </c>
      <c r="H43" s="16"/>
      <c r="I43" s="16"/>
      <c r="J43" s="16"/>
      <c r="K43" s="16"/>
      <c r="L43" s="16"/>
      <c r="M43" s="16"/>
      <c r="N43" s="16"/>
      <c r="O43" s="16"/>
      <c r="P43" s="17"/>
      <c r="Q43" s="18"/>
      <c r="R43" s="19"/>
    </row>
    <row r="44" spans="1:18" ht="30" customHeight="1" x14ac:dyDescent="0.25">
      <c r="A44" s="12">
        <v>8275</v>
      </c>
      <c r="B44" s="25" t="s">
        <v>99</v>
      </c>
      <c r="C44" s="25" t="s">
        <v>1</v>
      </c>
      <c r="D44" s="21">
        <v>46097</v>
      </c>
      <c r="E44" s="25" t="s">
        <v>88</v>
      </c>
      <c r="F44" s="25" t="s">
        <v>3</v>
      </c>
      <c r="G44" s="25" t="s">
        <v>13</v>
      </c>
      <c r="H44" s="16"/>
      <c r="I44" s="16"/>
      <c r="J44" s="16"/>
      <c r="K44" s="16"/>
      <c r="L44" s="16"/>
      <c r="M44" s="16"/>
      <c r="N44" s="16"/>
      <c r="O44" s="16"/>
      <c r="P44" s="17"/>
      <c r="Q44" s="18"/>
      <c r="R44" s="19"/>
    </row>
    <row r="45" spans="1:18" ht="30" customHeight="1" x14ac:dyDescent="0.25">
      <c r="A45" s="12">
        <v>8320</v>
      </c>
      <c r="B45" s="25" t="s">
        <v>79</v>
      </c>
      <c r="C45" s="25" t="s">
        <v>1</v>
      </c>
      <c r="D45" s="21">
        <v>46125</v>
      </c>
      <c r="E45" s="25" t="s">
        <v>80</v>
      </c>
      <c r="F45" s="25" t="s">
        <v>3</v>
      </c>
      <c r="G45" s="25" t="s">
        <v>13</v>
      </c>
      <c r="H45" s="15"/>
      <c r="I45" s="15"/>
      <c r="J45" s="22"/>
      <c r="K45" s="15"/>
      <c r="L45" s="22"/>
      <c r="M45" s="15"/>
      <c r="N45" s="15"/>
      <c r="O45" s="23"/>
      <c r="P45" s="24"/>
      <c r="Q45" s="18"/>
      <c r="R45" s="19"/>
    </row>
    <row r="46" spans="1:18" ht="30.6" customHeight="1" x14ac:dyDescent="0.25">
      <c r="A46" s="12">
        <v>5153</v>
      </c>
      <c r="B46" s="20" t="s">
        <v>25</v>
      </c>
      <c r="C46" s="20" t="s">
        <v>26</v>
      </c>
      <c r="D46" s="21">
        <v>43514</v>
      </c>
      <c r="E46" s="26" t="s">
        <v>129</v>
      </c>
      <c r="F46" s="20" t="s">
        <v>3</v>
      </c>
      <c r="G46" s="20" t="s">
        <v>27</v>
      </c>
      <c r="H46" s="15">
        <v>25</v>
      </c>
      <c r="I46" s="15">
        <v>15</v>
      </c>
      <c r="J46" s="22">
        <v>0</v>
      </c>
      <c r="K46" s="15">
        <v>10</v>
      </c>
      <c r="L46" s="22">
        <v>5</v>
      </c>
      <c r="M46" s="15">
        <v>5</v>
      </c>
      <c r="N46" s="15">
        <v>5</v>
      </c>
      <c r="O46" s="23">
        <v>8</v>
      </c>
      <c r="P46" s="24">
        <v>3.7</v>
      </c>
      <c r="Q46" s="18">
        <f t="shared" ref="Q46" si="1">SUM(H46:P46)</f>
        <v>76.7</v>
      </c>
      <c r="R46" s="19" t="s">
        <v>127</v>
      </c>
    </row>
    <row r="47" spans="1:18" ht="30.6" customHeight="1" x14ac:dyDescent="0.25">
      <c r="A47" s="12">
        <v>5619</v>
      </c>
      <c r="B47" s="20" t="s">
        <v>18</v>
      </c>
      <c r="C47" s="20" t="s">
        <v>26</v>
      </c>
      <c r="D47" s="21">
        <v>44287</v>
      </c>
      <c r="E47" s="26" t="s">
        <v>130</v>
      </c>
      <c r="F47" s="20" t="s">
        <v>3</v>
      </c>
      <c r="G47" s="20" t="s">
        <v>9</v>
      </c>
      <c r="H47" s="15">
        <v>25</v>
      </c>
      <c r="I47" s="15">
        <v>12</v>
      </c>
      <c r="J47" s="22">
        <v>10</v>
      </c>
      <c r="K47" s="15">
        <v>10</v>
      </c>
      <c r="L47" s="22">
        <v>10</v>
      </c>
      <c r="M47" s="15">
        <v>5</v>
      </c>
      <c r="N47" s="15">
        <v>5</v>
      </c>
      <c r="O47" s="23">
        <v>10</v>
      </c>
      <c r="P47" s="24">
        <v>3.7</v>
      </c>
      <c r="Q47" s="18">
        <f t="shared" si="0"/>
        <v>90.7</v>
      </c>
      <c r="R47" s="19" t="s">
        <v>125</v>
      </c>
    </row>
    <row r="48" spans="1:18" ht="30.6" customHeight="1" x14ac:dyDescent="0.25">
      <c r="A48" s="12">
        <v>4620</v>
      </c>
      <c r="B48" s="20" t="s">
        <v>8</v>
      </c>
      <c r="C48" s="20" t="s">
        <v>26</v>
      </c>
      <c r="D48" s="21">
        <v>43073</v>
      </c>
      <c r="E48" s="26" t="s">
        <v>131</v>
      </c>
      <c r="F48" s="20" t="s">
        <v>3</v>
      </c>
      <c r="G48" s="20" t="s">
        <v>9</v>
      </c>
      <c r="H48" s="15">
        <v>25</v>
      </c>
      <c r="I48" s="15">
        <v>12</v>
      </c>
      <c r="J48" s="22">
        <v>10</v>
      </c>
      <c r="K48" s="15">
        <v>10</v>
      </c>
      <c r="L48" s="22">
        <v>10</v>
      </c>
      <c r="M48" s="15">
        <v>5</v>
      </c>
      <c r="N48" s="15">
        <v>5</v>
      </c>
      <c r="O48" s="23">
        <v>10</v>
      </c>
      <c r="P48" s="24">
        <v>3.7</v>
      </c>
      <c r="Q48" s="18">
        <f t="shared" si="0"/>
        <v>90.7</v>
      </c>
      <c r="R48" s="19" t="s">
        <v>125</v>
      </c>
    </row>
    <row r="49" spans="1:18" ht="30.6" customHeight="1" x14ac:dyDescent="0.25">
      <c r="A49" s="12">
        <v>6481</v>
      </c>
      <c r="B49" s="20" t="s">
        <v>35</v>
      </c>
      <c r="C49" s="20" t="s">
        <v>58</v>
      </c>
      <c r="D49" s="21">
        <v>45019</v>
      </c>
      <c r="E49" s="26" t="s">
        <v>132</v>
      </c>
      <c r="F49" s="20" t="s">
        <v>3</v>
      </c>
      <c r="G49" s="20" t="s">
        <v>36</v>
      </c>
      <c r="H49" s="15">
        <v>20</v>
      </c>
      <c r="I49" s="15">
        <v>10</v>
      </c>
      <c r="J49" s="22">
        <v>10</v>
      </c>
      <c r="K49" s="15">
        <v>9</v>
      </c>
      <c r="L49" s="22">
        <v>10</v>
      </c>
      <c r="M49" s="15">
        <v>0</v>
      </c>
      <c r="N49" s="15">
        <v>5</v>
      </c>
      <c r="O49" s="23">
        <v>10</v>
      </c>
      <c r="P49" s="24">
        <v>3.15</v>
      </c>
      <c r="Q49" s="18">
        <f t="shared" si="0"/>
        <v>77.150000000000006</v>
      </c>
      <c r="R49" s="19" t="s">
        <v>127</v>
      </c>
    </row>
    <row r="50" spans="1:18" ht="30.6" customHeight="1" x14ac:dyDescent="0.25">
      <c r="A50" s="12">
        <v>6812</v>
      </c>
      <c r="B50" s="20" t="s">
        <v>52</v>
      </c>
      <c r="C50" s="20" t="s">
        <v>29</v>
      </c>
      <c r="D50" s="21">
        <v>45173</v>
      </c>
      <c r="E50" s="26" t="s">
        <v>133</v>
      </c>
      <c r="F50" s="20" t="s">
        <v>3</v>
      </c>
      <c r="G50" s="20" t="s">
        <v>17</v>
      </c>
      <c r="H50" s="15">
        <v>25</v>
      </c>
      <c r="I50" s="15">
        <v>12</v>
      </c>
      <c r="J50" s="22">
        <v>10</v>
      </c>
      <c r="K50" s="15">
        <v>10</v>
      </c>
      <c r="L50" s="22">
        <v>10</v>
      </c>
      <c r="M50" s="15">
        <v>5</v>
      </c>
      <c r="N50" s="15">
        <v>5</v>
      </c>
      <c r="O50" s="23">
        <v>10</v>
      </c>
      <c r="P50" s="24">
        <v>3.6</v>
      </c>
      <c r="Q50" s="18">
        <f t="shared" si="0"/>
        <v>90.6</v>
      </c>
      <c r="R50" s="19" t="s">
        <v>125</v>
      </c>
    </row>
  </sheetData>
  <mergeCells count="7">
    <mergeCell ref="A1:A2"/>
    <mergeCell ref="B1:B2"/>
    <mergeCell ref="C1:C2"/>
    <mergeCell ref="D1:D2"/>
    <mergeCell ref="E1:E2"/>
    <mergeCell ref="F1:F2"/>
    <mergeCell ref="G1:G2"/>
  </mergeCells>
  <conditionalFormatting sqref="B46">
    <cfRule type="duplicateValues" dxfId="7" priority="3"/>
  </conditionalFormatting>
  <conditionalFormatting sqref="B47:B48">
    <cfRule type="duplicateValues" dxfId="6" priority="5"/>
  </conditionalFormatting>
  <conditionalFormatting sqref="B49:B50">
    <cfRule type="duplicateValues" dxfId="5" priority="1"/>
  </conditionalFormatting>
  <conditionalFormatting sqref="B51:B1048576 B35:B45">
    <cfRule type="duplicateValues" dxfId="4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FB95-5667-4D39-A966-C0ACA1010FF5}">
  <dimension ref="A1:G51"/>
  <sheetViews>
    <sheetView workbookViewId="0">
      <selection activeCell="H11" sqref="H11"/>
    </sheetView>
  </sheetViews>
  <sheetFormatPr defaultRowHeight="15" x14ac:dyDescent="0.25"/>
  <cols>
    <col min="1" max="1" width="8.42578125" bestFit="1" customWidth="1"/>
    <col min="2" max="2" width="28" bestFit="1" customWidth="1"/>
    <col min="3" max="3" width="26.42578125" bestFit="1" customWidth="1"/>
    <col min="4" max="4" width="14.7109375" bestFit="1" customWidth="1"/>
    <col min="5" max="5" width="16.28515625" bestFit="1" customWidth="1"/>
    <col min="6" max="6" width="31.140625" bestFit="1" customWidth="1"/>
    <col min="7" max="7" width="28" bestFit="1" customWidth="1"/>
  </cols>
  <sheetData>
    <row r="1" spans="1:7" x14ac:dyDescent="0.25">
      <c r="A1" s="3" t="s">
        <v>108</v>
      </c>
      <c r="B1" s="3" t="s">
        <v>109</v>
      </c>
      <c r="C1" s="3" t="s">
        <v>110</v>
      </c>
      <c r="D1" s="4" t="s">
        <v>111</v>
      </c>
      <c r="E1" s="5" t="s">
        <v>112</v>
      </c>
      <c r="F1" s="5" t="s">
        <v>134</v>
      </c>
      <c r="G1" s="5" t="s">
        <v>113</v>
      </c>
    </row>
    <row r="2" spans="1:7" x14ac:dyDescent="0.25">
      <c r="A2" s="3"/>
      <c r="B2" s="3"/>
      <c r="C2" s="3"/>
      <c r="D2" s="6"/>
      <c r="E2" s="5"/>
      <c r="F2" s="5"/>
      <c r="G2" s="5"/>
    </row>
    <row r="3" spans="1:7" x14ac:dyDescent="0.25">
      <c r="A3" s="3"/>
      <c r="B3" s="3"/>
      <c r="C3" s="3"/>
      <c r="D3" s="8"/>
      <c r="E3" s="5"/>
      <c r="F3" s="5"/>
      <c r="G3" s="5"/>
    </row>
    <row r="4" spans="1:7" x14ac:dyDescent="0.25">
      <c r="A4" s="12">
        <v>8196</v>
      </c>
      <c r="B4" s="28" t="s">
        <v>106</v>
      </c>
      <c r="C4" s="28" t="s">
        <v>26</v>
      </c>
      <c r="D4" s="31">
        <v>46055</v>
      </c>
      <c r="E4" s="28" t="s">
        <v>60</v>
      </c>
      <c r="F4" s="28" t="s">
        <v>3</v>
      </c>
      <c r="G4" s="28" t="s">
        <v>45</v>
      </c>
    </row>
    <row r="5" spans="1:7" x14ac:dyDescent="0.25">
      <c r="A5" s="12">
        <v>5088</v>
      </c>
      <c r="B5" s="20" t="s">
        <v>5</v>
      </c>
      <c r="C5" s="20" t="s">
        <v>6</v>
      </c>
      <c r="D5" s="21">
        <v>43417</v>
      </c>
      <c r="E5" s="20" t="s">
        <v>7</v>
      </c>
      <c r="F5" s="20" t="s">
        <v>3</v>
      </c>
      <c r="G5" s="20" t="s">
        <v>6</v>
      </c>
    </row>
    <row r="6" spans="1:7" x14ac:dyDescent="0.25">
      <c r="A6" s="12">
        <v>4625</v>
      </c>
      <c r="B6" s="20" t="s">
        <v>43</v>
      </c>
      <c r="C6" s="20" t="s">
        <v>26</v>
      </c>
      <c r="D6" s="21">
        <v>43080</v>
      </c>
      <c r="E6" s="20" t="s">
        <v>44</v>
      </c>
      <c r="F6" s="20" t="s">
        <v>3</v>
      </c>
      <c r="G6" s="20" t="s">
        <v>45</v>
      </c>
    </row>
    <row r="7" spans="1:7" x14ac:dyDescent="0.25">
      <c r="A7" s="12">
        <v>7356</v>
      </c>
      <c r="B7" s="20" t="s">
        <v>57</v>
      </c>
      <c r="C7" s="20" t="s">
        <v>58</v>
      </c>
      <c r="D7" s="21">
        <v>45532</v>
      </c>
      <c r="E7" s="20" t="s">
        <v>59</v>
      </c>
      <c r="F7" s="20" t="s">
        <v>3</v>
      </c>
      <c r="G7" s="20" t="s">
        <v>36</v>
      </c>
    </row>
    <row r="8" spans="1:7" x14ac:dyDescent="0.25">
      <c r="A8" s="12">
        <v>7661</v>
      </c>
      <c r="B8" s="20" t="s">
        <v>77</v>
      </c>
      <c r="C8" s="20" t="s">
        <v>22</v>
      </c>
      <c r="D8" s="21">
        <v>45757</v>
      </c>
      <c r="E8" s="20" t="s">
        <v>72</v>
      </c>
      <c r="F8" s="20" t="s">
        <v>3</v>
      </c>
      <c r="G8" s="20" t="s">
        <v>49</v>
      </c>
    </row>
    <row r="9" spans="1:7" x14ac:dyDescent="0.25">
      <c r="A9" s="12">
        <v>5066</v>
      </c>
      <c r="B9" s="20" t="s">
        <v>55</v>
      </c>
      <c r="C9" s="20" t="s">
        <v>26</v>
      </c>
      <c r="D9" s="21">
        <v>43392</v>
      </c>
      <c r="E9" s="20" t="s">
        <v>56</v>
      </c>
      <c r="F9" s="20" t="s">
        <v>3</v>
      </c>
      <c r="G9" s="20" t="s">
        <v>45</v>
      </c>
    </row>
    <row r="10" spans="1:7" x14ac:dyDescent="0.25">
      <c r="A10" s="12">
        <v>5451</v>
      </c>
      <c r="B10" s="20" t="s">
        <v>28</v>
      </c>
      <c r="C10" s="20" t="s">
        <v>29</v>
      </c>
      <c r="D10" s="21">
        <v>43892</v>
      </c>
      <c r="E10" s="20" t="s">
        <v>30</v>
      </c>
      <c r="F10" s="20" t="s">
        <v>3</v>
      </c>
      <c r="G10" s="20" t="s">
        <v>31</v>
      </c>
    </row>
    <row r="11" spans="1:7" x14ac:dyDescent="0.25">
      <c r="A11" s="12">
        <v>6148</v>
      </c>
      <c r="B11" s="20" t="s">
        <v>48</v>
      </c>
      <c r="C11" s="20" t="s">
        <v>22</v>
      </c>
      <c r="D11" s="21">
        <v>44844</v>
      </c>
      <c r="E11" s="20" t="s">
        <v>32</v>
      </c>
      <c r="F11" s="20" t="s">
        <v>3</v>
      </c>
      <c r="G11" s="20" t="s">
        <v>49</v>
      </c>
    </row>
    <row r="12" spans="1:7" x14ac:dyDescent="0.25">
      <c r="A12" s="12">
        <v>7667</v>
      </c>
      <c r="B12" s="20" t="s">
        <v>71</v>
      </c>
      <c r="C12" s="20" t="s">
        <v>22</v>
      </c>
      <c r="D12" s="21">
        <v>45757</v>
      </c>
      <c r="E12" s="20" t="s">
        <v>72</v>
      </c>
      <c r="F12" s="20" t="s">
        <v>3</v>
      </c>
      <c r="G12" s="20" t="s">
        <v>49</v>
      </c>
    </row>
    <row r="13" spans="1:7" x14ac:dyDescent="0.25">
      <c r="A13" s="12">
        <v>7722</v>
      </c>
      <c r="B13" s="20" t="s">
        <v>84</v>
      </c>
      <c r="C13" s="20" t="s">
        <v>22</v>
      </c>
      <c r="D13" s="21">
        <v>45798</v>
      </c>
      <c r="E13" s="20" t="s">
        <v>85</v>
      </c>
      <c r="F13" s="20" t="s">
        <v>3</v>
      </c>
      <c r="G13" s="20" t="s">
        <v>13</v>
      </c>
    </row>
    <row r="14" spans="1:7" x14ac:dyDescent="0.25">
      <c r="A14" s="12">
        <v>7733</v>
      </c>
      <c r="B14" s="20" t="s">
        <v>103</v>
      </c>
      <c r="C14" s="20" t="s">
        <v>104</v>
      </c>
      <c r="D14" s="21">
        <v>45805</v>
      </c>
      <c r="E14" s="20" t="s">
        <v>105</v>
      </c>
      <c r="F14" s="20" t="s">
        <v>3</v>
      </c>
      <c r="G14" s="20" t="s">
        <v>104</v>
      </c>
    </row>
    <row r="15" spans="1:7" x14ac:dyDescent="0.25">
      <c r="A15" s="12">
        <v>5583</v>
      </c>
      <c r="B15" s="20" t="s">
        <v>21</v>
      </c>
      <c r="C15" s="20" t="s">
        <v>22</v>
      </c>
      <c r="D15" s="21">
        <v>44256</v>
      </c>
      <c r="E15" s="20" t="s">
        <v>23</v>
      </c>
      <c r="F15" s="20" t="s">
        <v>3</v>
      </c>
      <c r="G15" s="20" t="s">
        <v>24</v>
      </c>
    </row>
    <row r="16" spans="1:7" x14ac:dyDescent="0.25">
      <c r="A16" s="12">
        <v>7436</v>
      </c>
      <c r="B16" s="20" t="s">
        <v>101</v>
      </c>
      <c r="C16" s="20" t="s">
        <v>22</v>
      </c>
      <c r="D16" s="21">
        <v>45579</v>
      </c>
      <c r="E16" s="20" t="s">
        <v>102</v>
      </c>
      <c r="F16" s="20" t="s">
        <v>3</v>
      </c>
      <c r="G16" s="20" t="s">
        <v>49</v>
      </c>
    </row>
    <row r="17" spans="1:7" x14ac:dyDescent="0.25">
      <c r="A17" s="12">
        <v>5946</v>
      </c>
      <c r="B17" s="20" t="s">
        <v>38</v>
      </c>
      <c r="C17" s="20" t="s">
        <v>22</v>
      </c>
      <c r="D17" s="21">
        <v>44774</v>
      </c>
      <c r="E17" s="20" t="s">
        <v>39</v>
      </c>
      <c r="F17" s="20" t="s">
        <v>3</v>
      </c>
      <c r="G17" s="20" t="s">
        <v>24</v>
      </c>
    </row>
    <row r="18" spans="1:7" x14ac:dyDescent="0.25">
      <c r="A18" s="12">
        <v>7666</v>
      </c>
      <c r="B18" s="20" t="s">
        <v>81</v>
      </c>
      <c r="C18" s="20" t="s">
        <v>26</v>
      </c>
      <c r="D18" s="21">
        <v>45757</v>
      </c>
      <c r="E18" s="20" t="s">
        <v>72</v>
      </c>
      <c r="F18" s="20" t="s">
        <v>3</v>
      </c>
      <c r="G18" s="20" t="s">
        <v>27</v>
      </c>
    </row>
    <row r="19" spans="1:7" x14ac:dyDescent="0.25">
      <c r="A19" s="12">
        <v>3580</v>
      </c>
      <c r="B19" s="20" t="s">
        <v>46</v>
      </c>
      <c r="C19" s="20" t="s">
        <v>11</v>
      </c>
      <c r="D19" s="21">
        <v>42199</v>
      </c>
      <c r="E19" s="20" t="s">
        <v>47</v>
      </c>
      <c r="F19" s="20" t="s">
        <v>3</v>
      </c>
      <c r="G19" s="20" t="s">
        <v>42</v>
      </c>
    </row>
    <row r="20" spans="1:7" x14ac:dyDescent="0.25">
      <c r="A20" s="12">
        <v>7669</v>
      </c>
      <c r="B20" s="20" t="s">
        <v>95</v>
      </c>
      <c r="C20" s="20" t="s">
        <v>1</v>
      </c>
      <c r="D20" s="21">
        <v>45757</v>
      </c>
      <c r="E20" s="20" t="s">
        <v>72</v>
      </c>
      <c r="F20" s="20" t="s">
        <v>3</v>
      </c>
      <c r="G20" s="20" t="s">
        <v>41</v>
      </c>
    </row>
    <row r="21" spans="1:7" x14ac:dyDescent="0.25">
      <c r="A21" s="12">
        <v>6889</v>
      </c>
      <c r="B21" s="20" t="s">
        <v>0</v>
      </c>
      <c r="C21" s="20" t="s">
        <v>1</v>
      </c>
      <c r="D21" s="21">
        <v>45222</v>
      </c>
      <c r="E21" s="20" t="s">
        <v>2</v>
      </c>
      <c r="F21" s="20" t="s">
        <v>3</v>
      </c>
      <c r="G21" s="20" t="s">
        <v>4</v>
      </c>
    </row>
    <row r="22" spans="1:7" x14ac:dyDescent="0.25">
      <c r="A22" s="12">
        <v>7453</v>
      </c>
      <c r="B22" s="20" t="s">
        <v>107</v>
      </c>
      <c r="C22" s="20" t="s">
        <v>22</v>
      </c>
      <c r="D22" s="21">
        <v>45579</v>
      </c>
      <c r="E22" s="20" t="s">
        <v>102</v>
      </c>
      <c r="F22" s="20" t="s">
        <v>3</v>
      </c>
      <c r="G22" s="20" t="s">
        <v>49</v>
      </c>
    </row>
    <row r="23" spans="1:7" x14ac:dyDescent="0.25">
      <c r="A23" s="12">
        <v>5667</v>
      </c>
      <c r="B23" s="20" t="s">
        <v>53</v>
      </c>
      <c r="C23" s="20" t="s">
        <v>26</v>
      </c>
      <c r="D23" s="21">
        <v>44317</v>
      </c>
      <c r="E23" s="20" t="s">
        <v>54</v>
      </c>
      <c r="F23" s="20" t="s">
        <v>3</v>
      </c>
      <c r="G23" s="20" t="s">
        <v>45</v>
      </c>
    </row>
    <row r="24" spans="1:7" x14ac:dyDescent="0.25">
      <c r="A24" s="12">
        <v>6276</v>
      </c>
      <c r="B24" s="20" t="s">
        <v>50</v>
      </c>
      <c r="C24" s="20" t="s">
        <v>26</v>
      </c>
      <c r="D24" s="21">
        <v>44916</v>
      </c>
      <c r="E24" s="20" t="s">
        <v>51</v>
      </c>
      <c r="F24" s="20" t="s">
        <v>3</v>
      </c>
      <c r="G24" s="20" t="s">
        <v>45</v>
      </c>
    </row>
    <row r="25" spans="1:7" x14ac:dyDescent="0.25">
      <c r="A25" s="12">
        <v>7670</v>
      </c>
      <c r="B25" s="20" t="s">
        <v>92</v>
      </c>
      <c r="C25" s="20" t="s">
        <v>93</v>
      </c>
      <c r="D25" s="21">
        <v>45757</v>
      </c>
      <c r="E25" s="20" t="s">
        <v>72</v>
      </c>
      <c r="F25" s="20" t="s">
        <v>3</v>
      </c>
      <c r="G25" s="20" t="s">
        <v>94</v>
      </c>
    </row>
    <row r="26" spans="1:7" x14ac:dyDescent="0.25">
      <c r="A26" s="12">
        <v>7888</v>
      </c>
      <c r="B26" s="20" t="s">
        <v>10</v>
      </c>
      <c r="C26" s="20" t="s">
        <v>11</v>
      </c>
      <c r="D26" s="21">
        <v>45880</v>
      </c>
      <c r="E26" s="20" t="s">
        <v>12</v>
      </c>
      <c r="F26" s="20" t="s">
        <v>3</v>
      </c>
      <c r="G26" s="20" t="s">
        <v>13</v>
      </c>
    </row>
    <row r="27" spans="1:7" x14ac:dyDescent="0.25">
      <c r="A27" s="12">
        <v>5902</v>
      </c>
      <c r="B27" s="20" t="s">
        <v>19</v>
      </c>
      <c r="C27" s="20" t="s">
        <v>1</v>
      </c>
      <c r="D27" s="21">
        <v>44652</v>
      </c>
      <c r="E27" s="20" t="s">
        <v>20</v>
      </c>
      <c r="F27" s="20" t="s">
        <v>3</v>
      </c>
      <c r="G27" s="20" t="s">
        <v>4</v>
      </c>
    </row>
    <row r="28" spans="1:7" x14ac:dyDescent="0.25">
      <c r="A28" s="12">
        <v>6023</v>
      </c>
      <c r="B28" s="20" t="s">
        <v>14</v>
      </c>
      <c r="C28" s="20" t="s">
        <v>15</v>
      </c>
      <c r="D28" s="21">
        <v>44886</v>
      </c>
      <c r="E28" s="20" t="s">
        <v>16</v>
      </c>
      <c r="F28" s="20" t="s">
        <v>3</v>
      </c>
      <c r="G28" s="20" t="s">
        <v>17</v>
      </c>
    </row>
    <row r="29" spans="1:7" x14ac:dyDescent="0.25">
      <c r="A29" s="12">
        <v>6024</v>
      </c>
      <c r="B29" s="28" t="s">
        <v>40</v>
      </c>
      <c r="C29" s="28" t="s">
        <v>1</v>
      </c>
      <c r="D29" s="29">
        <v>44886</v>
      </c>
      <c r="E29" s="28" t="s">
        <v>16</v>
      </c>
      <c r="F29" s="28" t="s">
        <v>3</v>
      </c>
      <c r="G29" s="28" t="s">
        <v>41</v>
      </c>
    </row>
    <row r="30" spans="1:7" x14ac:dyDescent="0.25">
      <c r="A30" s="12">
        <v>8003</v>
      </c>
      <c r="B30" s="28" t="s">
        <v>66</v>
      </c>
      <c r="C30" s="28" t="s">
        <v>67</v>
      </c>
      <c r="D30" s="29">
        <v>45964</v>
      </c>
      <c r="E30" s="28" t="s">
        <v>63</v>
      </c>
      <c r="F30" s="28" t="s">
        <v>3</v>
      </c>
      <c r="G30" s="28" t="s">
        <v>13</v>
      </c>
    </row>
    <row r="31" spans="1:7" x14ac:dyDescent="0.25">
      <c r="A31" s="12">
        <v>8060</v>
      </c>
      <c r="B31" s="28" t="s">
        <v>97</v>
      </c>
      <c r="C31" s="28" t="s">
        <v>58</v>
      </c>
      <c r="D31" s="29">
        <v>45985</v>
      </c>
      <c r="E31" s="28" t="s">
        <v>98</v>
      </c>
      <c r="F31" s="28" t="s">
        <v>3</v>
      </c>
      <c r="G31" s="28" t="s">
        <v>13</v>
      </c>
    </row>
    <row r="32" spans="1:7" x14ac:dyDescent="0.25">
      <c r="A32" s="12">
        <v>8090</v>
      </c>
      <c r="B32" s="28" t="s">
        <v>78</v>
      </c>
      <c r="C32" s="28" t="s">
        <v>29</v>
      </c>
      <c r="D32" s="29">
        <v>45992</v>
      </c>
      <c r="E32" s="28" t="s">
        <v>65</v>
      </c>
      <c r="F32" s="28" t="s">
        <v>3</v>
      </c>
      <c r="G32" s="28" t="s">
        <v>13</v>
      </c>
    </row>
    <row r="33" spans="1:7" x14ac:dyDescent="0.25">
      <c r="A33" s="12">
        <v>8094</v>
      </c>
      <c r="B33" s="28" t="s">
        <v>86</v>
      </c>
      <c r="C33" s="28" t="s">
        <v>29</v>
      </c>
      <c r="D33" s="29">
        <v>45992</v>
      </c>
      <c r="E33" s="28" t="s">
        <v>65</v>
      </c>
      <c r="F33" s="28" t="s">
        <v>3</v>
      </c>
      <c r="G33" s="28" t="s">
        <v>13</v>
      </c>
    </row>
    <row r="34" spans="1:7" x14ac:dyDescent="0.25">
      <c r="A34" s="12">
        <v>8089</v>
      </c>
      <c r="B34" s="28" t="s">
        <v>91</v>
      </c>
      <c r="C34" s="28" t="s">
        <v>29</v>
      </c>
      <c r="D34" s="29">
        <v>45992</v>
      </c>
      <c r="E34" s="28" t="s">
        <v>65</v>
      </c>
      <c r="F34" s="28" t="s">
        <v>3</v>
      </c>
      <c r="G34" s="28" t="s">
        <v>13</v>
      </c>
    </row>
    <row r="35" spans="1:7" x14ac:dyDescent="0.25">
      <c r="A35" s="12">
        <v>8127</v>
      </c>
      <c r="B35" s="28" t="s">
        <v>89</v>
      </c>
      <c r="C35" s="28" t="s">
        <v>22</v>
      </c>
      <c r="D35" s="29">
        <v>46013</v>
      </c>
      <c r="E35" s="28" t="s">
        <v>90</v>
      </c>
      <c r="F35" s="28" t="s">
        <v>3</v>
      </c>
      <c r="G35" s="28" t="s">
        <v>49</v>
      </c>
    </row>
    <row r="36" spans="1:7" x14ac:dyDescent="0.25">
      <c r="A36" s="12">
        <v>8171</v>
      </c>
      <c r="B36" s="28" t="s">
        <v>82</v>
      </c>
      <c r="C36" s="28" t="s">
        <v>34</v>
      </c>
      <c r="D36" s="29">
        <v>46041</v>
      </c>
      <c r="E36" s="28" t="s">
        <v>83</v>
      </c>
      <c r="F36" s="28" t="s">
        <v>3</v>
      </c>
      <c r="G36" s="28" t="s">
        <v>13</v>
      </c>
    </row>
    <row r="37" spans="1:7" x14ac:dyDescent="0.25">
      <c r="A37" s="12">
        <v>8167</v>
      </c>
      <c r="B37" s="28" t="s">
        <v>100</v>
      </c>
      <c r="C37" s="28" t="s">
        <v>29</v>
      </c>
      <c r="D37" s="29">
        <v>46041</v>
      </c>
      <c r="E37" s="28" t="s">
        <v>83</v>
      </c>
      <c r="F37" s="28" t="s">
        <v>3</v>
      </c>
      <c r="G37" s="28" t="s">
        <v>13</v>
      </c>
    </row>
    <row r="38" spans="1:7" x14ac:dyDescent="0.25">
      <c r="A38" s="12">
        <v>7513</v>
      </c>
      <c r="B38" s="28" t="s">
        <v>68</v>
      </c>
      <c r="C38" s="28" t="s">
        <v>69</v>
      </c>
      <c r="D38" s="29">
        <v>45630</v>
      </c>
      <c r="E38" s="28" t="s">
        <v>70</v>
      </c>
      <c r="F38" s="28" t="s">
        <v>3</v>
      </c>
      <c r="G38" s="28" t="s">
        <v>33</v>
      </c>
    </row>
    <row r="39" spans="1:7" x14ac:dyDescent="0.25">
      <c r="A39" s="12">
        <v>6026</v>
      </c>
      <c r="B39" s="28" t="s">
        <v>37</v>
      </c>
      <c r="C39" s="28" t="s">
        <v>11</v>
      </c>
      <c r="D39" s="29">
        <v>44886</v>
      </c>
      <c r="E39" s="28" t="s">
        <v>16</v>
      </c>
      <c r="F39" s="28" t="s">
        <v>3</v>
      </c>
      <c r="G39" s="28" t="s">
        <v>33</v>
      </c>
    </row>
    <row r="40" spans="1:7" x14ac:dyDescent="0.25">
      <c r="A40" s="12">
        <v>7557</v>
      </c>
      <c r="B40" s="28" t="s">
        <v>75</v>
      </c>
      <c r="C40" s="28" t="s">
        <v>1</v>
      </c>
      <c r="D40" s="29">
        <v>45672</v>
      </c>
      <c r="E40" s="28" t="s">
        <v>76</v>
      </c>
      <c r="F40" s="28" t="s">
        <v>3</v>
      </c>
      <c r="G40" s="28" t="s">
        <v>41</v>
      </c>
    </row>
    <row r="41" spans="1:7" x14ac:dyDescent="0.25">
      <c r="A41" s="12">
        <v>8251</v>
      </c>
      <c r="B41" s="28" t="s">
        <v>73</v>
      </c>
      <c r="C41" s="28" t="s">
        <v>22</v>
      </c>
      <c r="D41" s="29">
        <v>46090</v>
      </c>
      <c r="E41" s="28" t="s">
        <v>74</v>
      </c>
      <c r="F41" s="28" t="s">
        <v>3</v>
      </c>
      <c r="G41" s="28" t="s">
        <v>13</v>
      </c>
    </row>
    <row r="42" spans="1:7" x14ac:dyDescent="0.25">
      <c r="A42" s="12">
        <v>8240</v>
      </c>
      <c r="B42" s="28" t="s">
        <v>61</v>
      </c>
      <c r="C42" s="28" t="s">
        <v>29</v>
      </c>
      <c r="D42" s="29">
        <v>46076</v>
      </c>
      <c r="E42" s="28" t="s">
        <v>62</v>
      </c>
      <c r="F42" s="28" t="s">
        <v>3</v>
      </c>
      <c r="G42" s="28" t="s">
        <v>13</v>
      </c>
    </row>
    <row r="43" spans="1:7" x14ac:dyDescent="0.25">
      <c r="A43" s="12">
        <v>8273</v>
      </c>
      <c r="B43" s="28" t="s">
        <v>87</v>
      </c>
      <c r="C43" s="28" t="s">
        <v>64</v>
      </c>
      <c r="D43" s="29">
        <v>46097</v>
      </c>
      <c r="E43" s="28" t="s">
        <v>88</v>
      </c>
      <c r="F43" s="28" t="s">
        <v>3</v>
      </c>
      <c r="G43" s="28" t="s">
        <v>13</v>
      </c>
    </row>
    <row r="44" spans="1:7" x14ac:dyDescent="0.25">
      <c r="A44" s="12">
        <v>8269</v>
      </c>
      <c r="B44" s="28" t="s">
        <v>96</v>
      </c>
      <c r="C44" s="28" t="s">
        <v>29</v>
      </c>
      <c r="D44" s="29">
        <v>46097</v>
      </c>
      <c r="E44" s="28" t="s">
        <v>88</v>
      </c>
      <c r="F44" s="28" t="s">
        <v>3</v>
      </c>
      <c r="G44" s="28" t="s">
        <v>13</v>
      </c>
    </row>
    <row r="45" spans="1:7" x14ac:dyDescent="0.25">
      <c r="A45" s="12">
        <v>8275</v>
      </c>
      <c r="B45" s="28" t="s">
        <v>99</v>
      </c>
      <c r="C45" s="28" t="s">
        <v>1</v>
      </c>
      <c r="D45" s="29">
        <v>46097</v>
      </c>
      <c r="E45" s="28" t="s">
        <v>88</v>
      </c>
      <c r="F45" s="28" t="s">
        <v>3</v>
      </c>
      <c r="G45" s="28" t="s">
        <v>13</v>
      </c>
    </row>
    <row r="46" spans="1:7" x14ac:dyDescent="0.25">
      <c r="A46" s="12">
        <v>8320</v>
      </c>
      <c r="B46" s="28" t="s">
        <v>79</v>
      </c>
      <c r="C46" s="28" t="s">
        <v>1</v>
      </c>
      <c r="D46" s="29">
        <v>46125</v>
      </c>
      <c r="E46" s="28" t="s">
        <v>80</v>
      </c>
      <c r="F46" s="28" t="s">
        <v>3</v>
      </c>
      <c r="G46" s="28" t="s">
        <v>13</v>
      </c>
    </row>
    <row r="47" spans="1:7" x14ac:dyDescent="0.25">
      <c r="A47" s="12">
        <v>5153</v>
      </c>
      <c r="B47" s="28" t="s">
        <v>25</v>
      </c>
      <c r="C47" s="28" t="s">
        <v>26</v>
      </c>
      <c r="D47" s="29">
        <v>43514</v>
      </c>
      <c r="E47" s="30" t="s">
        <v>129</v>
      </c>
      <c r="F47" s="28" t="s">
        <v>3</v>
      </c>
      <c r="G47" s="28" t="s">
        <v>27</v>
      </c>
    </row>
    <row r="48" spans="1:7" x14ac:dyDescent="0.25">
      <c r="A48" s="12">
        <v>5619</v>
      </c>
      <c r="B48" s="28" t="s">
        <v>18</v>
      </c>
      <c r="C48" s="28" t="s">
        <v>26</v>
      </c>
      <c r="D48" s="29">
        <v>44287</v>
      </c>
      <c r="E48" s="30" t="s">
        <v>130</v>
      </c>
      <c r="F48" s="28" t="s">
        <v>3</v>
      </c>
      <c r="G48" s="28" t="s">
        <v>9</v>
      </c>
    </row>
    <row r="49" spans="1:7" x14ac:dyDescent="0.25">
      <c r="A49" s="12">
        <v>4620</v>
      </c>
      <c r="B49" s="20" t="s">
        <v>8</v>
      </c>
      <c r="C49" s="20" t="s">
        <v>26</v>
      </c>
      <c r="D49" s="21">
        <v>43073</v>
      </c>
      <c r="E49" s="26" t="s">
        <v>131</v>
      </c>
      <c r="F49" s="20" t="s">
        <v>3</v>
      </c>
      <c r="G49" s="20" t="s">
        <v>9</v>
      </c>
    </row>
    <row r="50" spans="1:7" x14ac:dyDescent="0.25">
      <c r="A50" s="12">
        <v>6481</v>
      </c>
      <c r="B50" s="20" t="s">
        <v>35</v>
      </c>
      <c r="C50" s="20" t="s">
        <v>58</v>
      </c>
      <c r="D50" s="21">
        <v>45019</v>
      </c>
      <c r="E50" s="26" t="s">
        <v>132</v>
      </c>
      <c r="F50" s="20" t="s">
        <v>3</v>
      </c>
      <c r="G50" s="20" t="s">
        <v>36</v>
      </c>
    </row>
    <row r="51" spans="1:7" x14ac:dyDescent="0.25">
      <c r="A51" s="12">
        <v>6812</v>
      </c>
      <c r="B51" s="20" t="s">
        <v>52</v>
      </c>
      <c r="C51" s="20" t="s">
        <v>29</v>
      </c>
      <c r="D51" s="21">
        <v>45173</v>
      </c>
      <c r="E51" s="26" t="s">
        <v>133</v>
      </c>
      <c r="F51" s="20" t="s">
        <v>3</v>
      </c>
      <c r="G51" s="20" t="s">
        <v>17</v>
      </c>
    </row>
  </sheetData>
  <mergeCells count="7">
    <mergeCell ref="G1:G3"/>
    <mergeCell ref="A1:A3"/>
    <mergeCell ref="B1:B3"/>
    <mergeCell ref="C1:C3"/>
    <mergeCell ref="D1:D3"/>
    <mergeCell ref="E1:E3"/>
    <mergeCell ref="F1:F3"/>
  </mergeCells>
  <conditionalFormatting sqref="B47">
    <cfRule type="duplicateValues" dxfId="3" priority="2"/>
  </conditionalFormatting>
  <conditionalFormatting sqref="B48:B49">
    <cfRule type="duplicateValues" dxfId="2" priority="4"/>
  </conditionalFormatting>
  <conditionalFormatting sqref="B50:B51">
    <cfRule type="duplicateValues" dxfId="1" priority="1"/>
  </conditionalFormatting>
  <conditionalFormatting sqref="B1 B36:B4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ANASAYFA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Aykut Bayram</dc:creator>
  <cp:lastModifiedBy>Yusuf Aykut Bayram</cp:lastModifiedBy>
  <dcterms:created xsi:type="dcterms:W3CDTF">2026-04-27T13:25:09Z</dcterms:created>
  <dcterms:modified xsi:type="dcterms:W3CDTF">2026-04-27T14:07:29Z</dcterms:modified>
</cp:coreProperties>
</file>